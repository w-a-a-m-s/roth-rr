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gev Financial Offi\Dropbox\Dropbox Ran Work\Financial Planning\Roth analysis &amp; Income tool 05-10-2026\Fact Finder Garcia\"/>
    </mc:Choice>
  </mc:AlternateContent>
  <xr:revisionPtr revIDLastSave="0" documentId="13_ncr:1_{D6C4303F-B7D2-4EEE-BBED-C1D718AE8740}" xr6:coauthVersionLast="47" xr6:coauthVersionMax="47" xr10:uidLastSave="{00000000-0000-0000-0000-000000000000}"/>
  <bookViews>
    <workbookView xWindow="-41850" yWindow="-32100" windowWidth="28740" windowHeight="15420" activeTab="1" xr2:uid="{00000000-000D-0000-FFFF-FFFF00000000}"/>
  </bookViews>
  <sheets>
    <sheet name="Sheet1" sheetId="1" r:id="rId1"/>
    <sheet name="Sheet2" sheetId="2" r:id="rId2"/>
    <sheet name="Rot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2" l="1"/>
  <c r="N39" i="2"/>
  <c r="P37" i="2"/>
  <c r="E10" i="3"/>
  <c r="AE25" i="2"/>
  <c r="AE24" i="2"/>
  <c r="AD21" i="2"/>
  <c r="AC21" i="2"/>
  <c r="N11" i="2"/>
  <c r="O11" i="2" s="1"/>
  <c r="P11" i="2" s="1"/>
  <c r="Q11" i="2" s="1"/>
  <c r="M11" i="2"/>
  <c r="L11" i="2"/>
  <c r="K11" i="3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L10" i="2"/>
  <c r="M10" i="2" s="1"/>
  <c r="N10" i="2" s="1"/>
  <c r="O10" i="2" s="1"/>
  <c r="P10" i="2" s="1"/>
  <c r="Q10" i="2" s="1"/>
  <c r="R10" i="2" s="1"/>
  <c r="K18" i="2"/>
  <c r="J18" i="2"/>
  <c r="I18" i="2"/>
  <c r="H18" i="2"/>
  <c r="G18" i="2"/>
  <c r="F18" i="2"/>
  <c r="E18" i="2"/>
  <c r="G18" i="3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F18" i="3"/>
  <c r="F9" i="2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G5" i="2"/>
  <c r="H5" i="2" s="1"/>
  <c r="I5" i="2" s="1"/>
  <c r="J5" i="2" s="1"/>
  <c r="K5" i="2" s="1"/>
  <c r="L5" i="2" s="1"/>
  <c r="M5" i="2" s="1"/>
  <c r="N5" i="2" s="1"/>
  <c r="O5" i="2" s="1"/>
  <c r="P5" i="2" s="1"/>
  <c r="Q5" i="2" s="1"/>
  <c r="Y12" i="3"/>
  <c r="Z12" i="3" s="1"/>
  <c r="AA12" i="3" s="1"/>
  <c r="AB12" i="3" s="1"/>
  <c r="AC12" i="3" s="1"/>
  <c r="AD12" i="3" s="1"/>
  <c r="F5" i="3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E4" i="2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E10" i="2"/>
  <c r="F10" i="2" s="1"/>
  <c r="G10" i="2" s="1"/>
  <c r="H10" i="2" s="1"/>
  <c r="I10" i="2" s="1"/>
  <c r="J10" i="2" s="1"/>
  <c r="K10" i="2" s="1"/>
  <c r="E6" i="2"/>
  <c r="E7" i="2" s="1"/>
  <c r="E21" i="3"/>
  <c r="N8" i="3"/>
  <c r="M8" i="3"/>
  <c r="L8" i="3"/>
  <c r="K8" i="3"/>
  <c r="J8" i="3"/>
  <c r="I8" i="3"/>
  <c r="H8" i="3"/>
  <c r="G8" i="3"/>
  <c r="F8" i="3"/>
  <c r="P8" i="3" s="1"/>
  <c r="E6" i="3"/>
  <c r="F6" i="3" s="1"/>
  <c r="E33" i="3"/>
  <c r="F33" i="3" s="1"/>
  <c r="G33" i="3" s="1"/>
  <c r="H33" i="3" s="1"/>
  <c r="I33" i="3" s="1"/>
  <c r="J33" i="3" s="1"/>
  <c r="K33" i="3" s="1"/>
  <c r="L33" i="3" s="1"/>
  <c r="M33" i="3" s="1"/>
  <c r="N33" i="3" s="1"/>
  <c r="O33" i="3" s="1"/>
  <c r="P33" i="3" s="1"/>
  <c r="Q33" i="3" s="1"/>
  <c r="R33" i="3" s="1"/>
  <c r="S33" i="3" s="1"/>
  <c r="T33" i="3" s="1"/>
  <c r="U33" i="3" s="1"/>
  <c r="V33" i="3" s="1"/>
  <c r="W33" i="3" s="1"/>
  <c r="X33" i="3" s="1"/>
  <c r="Y33" i="3" s="1"/>
  <c r="Z33" i="3" s="1"/>
  <c r="AA33" i="3" s="1"/>
  <c r="AB33" i="3" s="1"/>
  <c r="AC33" i="3" s="1"/>
  <c r="AD33" i="3" s="1"/>
  <c r="AE25" i="3"/>
  <c r="AE24" i="3"/>
  <c r="AE23" i="3"/>
  <c r="AE22" i="3"/>
  <c r="AE21" i="3"/>
  <c r="F17" i="3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L13" i="3"/>
  <c r="M13" i="3" s="1"/>
  <c r="N13" i="3" s="1"/>
  <c r="O13" i="3" s="1"/>
  <c r="F12" i="3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E11" i="3"/>
  <c r="F11" i="3" s="1"/>
  <c r="G11" i="3" s="1"/>
  <c r="H11" i="3" s="1"/>
  <c r="I11" i="3" s="1"/>
  <c r="J11" i="3" s="1"/>
  <c r="F10" i="3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E4" i="3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E3" i="3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L32" i="2"/>
  <c r="F32" i="2"/>
  <c r="G32" i="2" s="1"/>
  <c r="H32" i="2" s="1"/>
  <c r="I32" i="2" s="1"/>
  <c r="J32" i="2" s="1"/>
  <c r="K32" i="2" s="1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AA32" i="2" s="1"/>
  <c r="AB32" i="2" s="1"/>
  <c r="AC32" i="2" s="1"/>
  <c r="AD32" i="2" s="1"/>
  <c r="AE23" i="2"/>
  <c r="AE22" i="2"/>
  <c r="AE21" i="2"/>
  <c r="AE20" i="2"/>
  <c r="E20" i="2"/>
  <c r="F20" i="2" s="1"/>
  <c r="G20" i="2" s="1"/>
  <c r="F16" i="2"/>
  <c r="G16" i="2" s="1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F12" i="2"/>
  <c r="F11" i="2"/>
  <c r="G11" i="2" s="1"/>
  <c r="H11" i="2" s="1"/>
  <c r="I11" i="2" s="1"/>
  <c r="J11" i="2" s="1"/>
  <c r="K11" i="2" s="1"/>
  <c r="F5" i="2"/>
  <c r="R11" i="2" l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X11" i="3"/>
  <c r="Y11" i="3" s="1"/>
  <c r="Z11" i="3" s="1"/>
  <c r="AA11" i="3" s="1"/>
  <c r="AB11" i="3" s="1"/>
  <c r="AC11" i="3" s="1"/>
  <c r="AD11" i="3" s="1"/>
  <c r="G19" i="3"/>
  <c r="H19" i="3"/>
  <c r="R5" i="2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N40" i="2"/>
  <c r="G16" i="3"/>
  <c r="E16" i="3"/>
  <c r="R3" i="2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F16" i="3"/>
  <c r="G6" i="3"/>
  <c r="H6" i="3" s="1"/>
  <c r="I6" i="3" s="1"/>
  <c r="J6" i="3" s="1"/>
  <c r="K6" i="3" s="1"/>
  <c r="L6" i="3" s="1"/>
  <c r="M6" i="3" s="1"/>
  <c r="N6" i="3" s="1"/>
  <c r="O6" i="3" s="1"/>
  <c r="F7" i="3"/>
  <c r="E7" i="3"/>
  <c r="E14" i="3"/>
  <c r="H16" i="3"/>
  <c r="G14" i="3"/>
  <c r="F14" i="3"/>
  <c r="S10" i="2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R4" i="2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F13" i="2"/>
  <c r="F15" i="2"/>
  <c r="E15" i="2"/>
  <c r="H20" i="2"/>
  <c r="F6" i="2"/>
  <c r="G6" i="2" s="1"/>
  <c r="H6" i="2" s="1"/>
  <c r="I6" i="2" s="1"/>
  <c r="J6" i="2" s="1"/>
  <c r="K6" i="2" s="1"/>
  <c r="L6" i="2" s="1"/>
  <c r="M6" i="2" s="1"/>
  <c r="N6" i="2" s="1"/>
  <c r="O6" i="2" s="1"/>
  <c r="P6" i="2" s="1"/>
  <c r="E13" i="2"/>
  <c r="F19" i="3" l="1"/>
  <c r="F22" i="3" s="1"/>
  <c r="E19" i="3"/>
  <c r="E22" i="3" s="1"/>
  <c r="G22" i="3"/>
  <c r="Q8" i="3"/>
  <c r="R8" i="3" s="1"/>
  <c r="S8" i="3" s="1"/>
  <c r="T8" i="3" s="1"/>
  <c r="U8" i="3" s="1"/>
  <c r="V8" i="3" s="1"/>
  <c r="W8" i="3" s="1"/>
  <c r="X8" i="3" s="1"/>
  <c r="P40" i="3"/>
  <c r="E21" i="2"/>
  <c r="E27" i="2" s="1"/>
  <c r="F21" i="2"/>
  <c r="F27" i="2" s="1"/>
  <c r="F28" i="2" s="1"/>
  <c r="F29" i="2" s="1"/>
  <c r="G7" i="3"/>
  <c r="I16" i="3"/>
  <c r="I19" i="3" s="1"/>
  <c r="H14" i="3"/>
  <c r="H22" i="3"/>
  <c r="F7" i="2"/>
  <c r="I20" i="2"/>
  <c r="G13" i="2"/>
  <c r="G15" i="2"/>
  <c r="Y8" i="3" l="1"/>
  <c r="Z8" i="3" s="1"/>
  <c r="AA8" i="3" s="1"/>
  <c r="AB8" i="3" s="1"/>
  <c r="AC8" i="3" s="1"/>
  <c r="AD8" i="3" s="1"/>
  <c r="E28" i="2"/>
  <c r="E29" i="2" s="1"/>
  <c r="E30" i="2" s="1"/>
  <c r="G21" i="2"/>
  <c r="G27" i="2" s="1"/>
  <c r="J16" i="3"/>
  <c r="J19" i="3" s="1"/>
  <c r="I14" i="3"/>
  <c r="I22" i="3"/>
  <c r="H7" i="3"/>
  <c r="E34" i="2"/>
  <c r="J20" i="2"/>
  <c r="G7" i="2"/>
  <c r="H15" i="2"/>
  <c r="H13" i="2"/>
  <c r="F34" i="2"/>
  <c r="F30" i="2"/>
  <c r="O40" i="2" l="1"/>
  <c r="G28" i="2"/>
  <c r="G29" i="2" s="1"/>
  <c r="G34" i="2" s="1"/>
  <c r="H21" i="2"/>
  <c r="H27" i="2" s="1"/>
  <c r="H28" i="2" s="1"/>
  <c r="H29" i="2" s="1"/>
  <c r="I7" i="3"/>
  <c r="J14" i="3"/>
  <c r="K16" i="3"/>
  <c r="K19" i="3" s="1"/>
  <c r="J22" i="3"/>
  <c r="I15" i="2"/>
  <c r="I13" i="2"/>
  <c r="H7" i="2"/>
  <c r="K20" i="2"/>
  <c r="G30" i="2" l="1"/>
  <c r="I21" i="2"/>
  <c r="I27" i="2" s="1"/>
  <c r="I28" i="2" s="1"/>
  <c r="I29" i="2" s="1"/>
  <c r="L16" i="3"/>
  <c r="L19" i="3" s="1"/>
  <c r="K14" i="3"/>
  <c r="K22" i="3"/>
  <c r="J7" i="3"/>
  <c r="L20" i="2"/>
  <c r="I7" i="2"/>
  <c r="J13" i="2"/>
  <c r="J15" i="2"/>
  <c r="H34" i="2"/>
  <c r="H30" i="2"/>
  <c r="I34" i="2" l="1"/>
  <c r="I30" i="2"/>
  <c r="J21" i="2"/>
  <c r="J27" i="2" s="1"/>
  <c r="K7" i="3"/>
  <c r="M16" i="3"/>
  <c r="M19" i="3" s="1"/>
  <c r="L14" i="3"/>
  <c r="L22" i="3"/>
  <c r="M20" i="2"/>
  <c r="K13" i="2"/>
  <c r="K15" i="2"/>
  <c r="J7" i="2"/>
  <c r="J28" i="2" l="1"/>
  <c r="J29" i="2" s="1"/>
  <c r="J34" i="2" s="1"/>
  <c r="K21" i="2"/>
  <c r="K27" i="2" s="1"/>
  <c r="K28" i="2" s="1"/>
  <c r="K29" i="2" s="1"/>
  <c r="M14" i="3"/>
  <c r="M22" i="3"/>
  <c r="N16" i="3"/>
  <c r="N19" i="3" s="1"/>
  <c r="L7" i="3"/>
  <c r="E28" i="3"/>
  <c r="F21" i="3"/>
  <c r="K7" i="2"/>
  <c r="L13" i="2"/>
  <c r="L15" i="2"/>
  <c r="N20" i="2"/>
  <c r="L18" i="2" l="1"/>
  <c r="L21" i="2" s="1"/>
  <c r="L27" i="2" s="1"/>
  <c r="L28" i="2" s="1"/>
  <c r="L29" i="2" s="1"/>
  <c r="J30" i="2"/>
  <c r="E29" i="3"/>
  <c r="E30" i="3" s="1"/>
  <c r="E35" i="3" s="1"/>
  <c r="F28" i="3"/>
  <c r="F29" i="3" s="1"/>
  <c r="F30" i="3" s="1"/>
  <c r="G21" i="3"/>
  <c r="M7" i="3"/>
  <c r="N22" i="3"/>
  <c r="N14" i="3"/>
  <c r="O16" i="3"/>
  <c r="O19" i="3" s="1"/>
  <c r="O20" i="2"/>
  <c r="K34" i="2"/>
  <c r="K30" i="2"/>
  <c r="M13" i="2"/>
  <c r="M15" i="2"/>
  <c r="Q6" i="2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L7" i="2"/>
  <c r="M18" i="2" l="1"/>
  <c r="M21" i="2" s="1"/>
  <c r="M27" i="2" s="1"/>
  <c r="M28" i="2" s="1"/>
  <c r="M29" i="2" s="1"/>
  <c r="E31" i="3"/>
  <c r="O22" i="3"/>
  <c r="O14" i="3"/>
  <c r="N7" i="3"/>
  <c r="G28" i="3"/>
  <c r="H21" i="3"/>
  <c r="F35" i="3"/>
  <c r="F31" i="3"/>
  <c r="L34" i="2"/>
  <c r="L30" i="2"/>
  <c r="N15" i="2"/>
  <c r="N13" i="2"/>
  <c r="M7" i="2"/>
  <c r="P20" i="2"/>
  <c r="N18" i="2" l="1"/>
  <c r="N21" i="2" s="1"/>
  <c r="N27" i="2" s="1"/>
  <c r="N28" i="2" s="1"/>
  <c r="N29" i="2" s="1"/>
  <c r="G29" i="3"/>
  <c r="G30" i="3" s="1"/>
  <c r="G35" i="3" s="1"/>
  <c r="H28" i="3"/>
  <c r="H29" i="3" s="1"/>
  <c r="H30" i="3" s="1"/>
  <c r="I21" i="3"/>
  <c r="P6" i="3"/>
  <c r="O7" i="3"/>
  <c r="Q20" i="2"/>
  <c r="M34" i="2"/>
  <c r="M30" i="2"/>
  <c r="N7" i="2"/>
  <c r="O15" i="2"/>
  <c r="O13" i="2"/>
  <c r="O18" i="2" l="1"/>
  <c r="O21" i="2" s="1"/>
  <c r="O27" i="2" s="1"/>
  <c r="O28" i="2" s="1"/>
  <c r="O29" i="2" s="1"/>
  <c r="G31" i="3"/>
  <c r="H35" i="3"/>
  <c r="H31" i="3"/>
  <c r="Q6" i="3"/>
  <c r="P7" i="3"/>
  <c r="I28" i="3"/>
  <c r="J21" i="3"/>
  <c r="N34" i="2"/>
  <c r="N30" i="2"/>
  <c r="O7" i="2"/>
  <c r="R20" i="2"/>
  <c r="J39" i="2" l="1"/>
  <c r="I29" i="3"/>
  <c r="I30" i="3" s="1"/>
  <c r="I35" i="3" s="1"/>
  <c r="K21" i="3"/>
  <c r="J28" i="3"/>
  <c r="J29" i="3" s="1"/>
  <c r="J30" i="3" s="1"/>
  <c r="P13" i="3"/>
  <c r="R6" i="3"/>
  <c r="Q7" i="3"/>
  <c r="S20" i="2"/>
  <c r="O34" i="2"/>
  <c r="O30" i="2"/>
  <c r="P7" i="2"/>
  <c r="I31" i="3" l="1"/>
  <c r="P12" i="2"/>
  <c r="S6" i="3"/>
  <c r="R7" i="3"/>
  <c r="Q13" i="3"/>
  <c r="P16" i="3"/>
  <c r="P14" i="3"/>
  <c r="J35" i="3"/>
  <c r="J31" i="3"/>
  <c r="L21" i="3"/>
  <c r="K28" i="3"/>
  <c r="Q7" i="2"/>
  <c r="Q12" i="2" s="1"/>
  <c r="T20" i="2"/>
  <c r="P19" i="3" l="1"/>
  <c r="P22" i="3" s="1"/>
  <c r="P13" i="2"/>
  <c r="P15" i="2"/>
  <c r="Q15" i="2"/>
  <c r="Q13" i="2"/>
  <c r="K29" i="3"/>
  <c r="K30" i="3" s="1"/>
  <c r="K35" i="3" s="1"/>
  <c r="M21" i="3"/>
  <c r="L28" i="3"/>
  <c r="L29" i="3" s="1"/>
  <c r="L30" i="3" s="1"/>
  <c r="R13" i="3"/>
  <c r="Q16" i="3"/>
  <c r="Q14" i="3"/>
  <c r="T6" i="3"/>
  <c r="S7" i="3"/>
  <c r="U20" i="2"/>
  <c r="R7" i="2"/>
  <c r="R12" i="2" s="1"/>
  <c r="Q19" i="3" l="1"/>
  <c r="Q22" i="3" s="1"/>
  <c r="P18" i="2"/>
  <c r="P21" i="2" s="1"/>
  <c r="P27" i="2" s="1"/>
  <c r="P28" i="2" s="1"/>
  <c r="P29" i="2" s="1"/>
  <c r="Q18" i="2"/>
  <c r="Q21" i="2" s="1"/>
  <c r="Q27" i="2" s="1"/>
  <c r="Q28" i="2" s="1"/>
  <c r="Q29" i="2" s="1"/>
  <c r="K31" i="3"/>
  <c r="L35" i="3"/>
  <c r="L31" i="3"/>
  <c r="U6" i="3"/>
  <c r="T7" i="3"/>
  <c r="S13" i="3"/>
  <c r="R16" i="3"/>
  <c r="R14" i="3"/>
  <c r="N21" i="3"/>
  <c r="M28" i="3"/>
  <c r="M29" i="3" s="1"/>
  <c r="M30" i="3" s="1"/>
  <c r="S7" i="2"/>
  <c r="S12" i="2" s="1"/>
  <c r="V20" i="2"/>
  <c r="R19" i="3" l="1"/>
  <c r="R22" i="3" s="1"/>
  <c r="P34" i="2"/>
  <c r="P30" i="2"/>
  <c r="Q34" i="2"/>
  <c r="Q30" i="2"/>
  <c r="M35" i="3"/>
  <c r="M31" i="3"/>
  <c r="N28" i="3"/>
  <c r="O21" i="3"/>
  <c r="T13" i="3"/>
  <c r="S14" i="3"/>
  <c r="S16" i="3"/>
  <c r="V6" i="3"/>
  <c r="U7" i="3"/>
  <c r="T7" i="2"/>
  <c r="T12" i="2" s="1"/>
  <c r="W20" i="2"/>
  <c r="R13" i="2"/>
  <c r="R15" i="2"/>
  <c r="S19" i="3" l="1"/>
  <c r="S22" i="3" s="1"/>
  <c r="R18" i="2"/>
  <c r="R21" i="2" s="1"/>
  <c r="R27" i="2" s="1"/>
  <c r="N29" i="3"/>
  <c r="N30" i="3" s="1"/>
  <c r="V7" i="3"/>
  <c r="W6" i="3"/>
  <c r="O28" i="3"/>
  <c r="J40" i="2" s="1"/>
  <c r="P21" i="3"/>
  <c r="U13" i="3"/>
  <c r="T16" i="3"/>
  <c r="T14" i="3"/>
  <c r="N31" i="3"/>
  <c r="N35" i="3"/>
  <c r="S13" i="2"/>
  <c r="S15" i="2"/>
  <c r="X20" i="2"/>
  <c r="U7" i="2"/>
  <c r="U12" i="2" s="1"/>
  <c r="T19" i="3" l="1"/>
  <c r="T22" i="3" s="1"/>
  <c r="S18" i="2"/>
  <c r="S21" i="2" s="1"/>
  <c r="S27" i="2" s="1"/>
  <c r="S28" i="2" s="1"/>
  <c r="S29" i="2" s="1"/>
  <c r="R28" i="2"/>
  <c r="R29" i="2" s="1"/>
  <c r="R30" i="2" s="1"/>
  <c r="O29" i="3"/>
  <c r="O30" i="3" s="1"/>
  <c r="O31" i="3" s="1"/>
  <c r="V13" i="3"/>
  <c r="U14" i="3"/>
  <c r="U16" i="3"/>
  <c r="P28" i="3"/>
  <c r="Q21" i="3"/>
  <c r="O35" i="3"/>
  <c r="W7" i="3"/>
  <c r="X6" i="3"/>
  <c r="Y6" i="3" s="1"/>
  <c r="V7" i="2"/>
  <c r="V12" i="2" s="1"/>
  <c r="Y20" i="2"/>
  <c r="T15" i="2"/>
  <c r="T13" i="2"/>
  <c r="U19" i="3" l="1"/>
  <c r="U22" i="3" s="1"/>
  <c r="T18" i="2"/>
  <c r="T21" i="2" s="1"/>
  <c r="T27" i="2" s="1"/>
  <c r="Z6" i="3"/>
  <c r="Y7" i="3"/>
  <c r="R34" i="2"/>
  <c r="P29" i="3"/>
  <c r="P30" i="3" s="1"/>
  <c r="X7" i="3"/>
  <c r="Q28" i="3"/>
  <c r="Q29" i="3" s="1"/>
  <c r="Q30" i="3" s="1"/>
  <c r="R21" i="3"/>
  <c r="P31" i="3"/>
  <c r="P35" i="3"/>
  <c r="W13" i="3"/>
  <c r="V14" i="3"/>
  <c r="V16" i="3"/>
  <c r="U13" i="2"/>
  <c r="U15" i="2"/>
  <c r="S30" i="2"/>
  <c r="S34" i="2"/>
  <c r="Z20" i="2"/>
  <c r="W7" i="2"/>
  <c r="W12" i="2" s="1"/>
  <c r="V19" i="3" l="1"/>
  <c r="V22" i="3" s="1"/>
  <c r="U18" i="2"/>
  <c r="U21" i="2" s="1"/>
  <c r="U27" i="2" s="1"/>
  <c r="U28" i="2" s="1"/>
  <c r="U29" i="2" s="1"/>
  <c r="AA6" i="3"/>
  <c r="Z7" i="3"/>
  <c r="T28" i="2"/>
  <c r="T29" i="2" s="1"/>
  <c r="T30" i="2" s="1"/>
  <c r="W39" i="2"/>
  <c r="W40" i="2" s="1"/>
  <c r="N41" i="2" s="1"/>
  <c r="R28" i="3"/>
  <c r="R29" i="3" s="1"/>
  <c r="R30" i="3" s="1"/>
  <c r="S21" i="3"/>
  <c r="X13" i="3"/>
  <c r="Y13" i="3" s="1"/>
  <c r="W14" i="3"/>
  <c r="W16" i="3"/>
  <c r="Q31" i="3"/>
  <c r="Q35" i="3"/>
  <c r="X7" i="2"/>
  <c r="X12" i="2" s="1"/>
  <c r="AA20" i="2"/>
  <c r="V15" i="2"/>
  <c r="V13" i="2"/>
  <c r="W19" i="3" l="1"/>
  <c r="W22" i="3" s="1"/>
  <c r="V18" i="2"/>
  <c r="V21" i="2" s="1"/>
  <c r="V27" i="2" s="1"/>
  <c r="AB6" i="3"/>
  <c r="AA7" i="3"/>
  <c r="Z13" i="3"/>
  <c r="Y14" i="3"/>
  <c r="Y16" i="3"/>
  <c r="T34" i="2"/>
  <c r="X14" i="3"/>
  <c r="X16" i="3"/>
  <c r="S28" i="3"/>
  <c r="S29" i="3" s="1"/>
  <c r="S30" i="3" s="1"/>
  <c r="T21" i="3"/>
  <c r="R31" i="3"/>
  <c r="R35" i="3"/>
  <c r="U30" i="2"/>
  <c r="U34" i="2"/>
  <c r="W15" i="2"/>
  <c r="W13" i="2"/>
  <c r="AB20" i="2"/>
  <c r="Y7" i="2"/>
  <c r="Y12" i="2" s="1"/>
  <c r="Y19" i="3" l="1"/>
  <c r="Y22" i="3" s="1"/>
  <c r="X19" i="3"/>
  <c r="X22" i="3" s="1"/>
  <c r="W18" i="2"/>
  <c r="W21" i="2" s="1"/>
  <c r="W27" i="2" s="1"/>
  <c r="AA13" i="3"/>
  <c r="Z16" i="3"/>
  <c r="Z14" i="3"/>
  <c r="AB7" i="3"/>
  <c r="AC6" i="3"/>
  <c r="V28" i="2"/>
  <c r="T28" i="3"/>
  <c r="T29" i="3" s="1"/>
  <c r="T30" i="3" s="1"/>
  <c r="U21" i="3"/>
  <c r="S31" i="3"/>
  <c r="S35" i="3"/>
  <c r="Z7" i="2"/>
  <c r="Z12" i="2" s="1"/>
  <c r="AC20" i="2"/>
  <c r="AD20" i="2" s="1"/>
  <c r="X13" i="2"/>
  <c r="X15" i="2"/>
  <c r="Z19" i="3" l="1"/>
  <c r="Z22" i="3" s="1"/>
  <c r="X18" i="2"/>
  <c r="X21" i="2" s="1"/>
  <c r="X27" i="2" s="1"/>
  <c r="X28" i="2" s="1"/>
  <c r="X29" i="2" s="1"/>
  <c r="AB13" i="3"/>
  <c r="AA14" i="3"/>
  <c r="AA16" i="3"/>
  <c r="AD6" i="3"/>
  <c r="AD7" i="3" s="1"/>
  <c r="AE26" i="3" s="1"/>
  <c r="AE28" i="3" s="1"/>
  <c r="AE37" i="3" s="1"/>
  <c r="AC7" i="3"/>
  <c r="W28" i="2"/>
  <c r="W29" i="2" s="1"/>
  <c r="W34" i="2" s="1"/>
  <c r="V29" i="2"/>
  <c r="U28" i="3"/>
  <c r="U29" i="3" s="1"/>
  <c r="U30" i="3" s="1"/>
  <c r="V21" i="3"/>
  <c r="T31" i="3"/>
  <c r="T35" i="3"/>
  <c r="Y15" i="2"/>
  <c r="Y13" i="2"/>
  <c r="AA7" i="2"/>
  <c r="AA12" i="2" s="1"/>
  <c r="AA19" i="3" l="1"/>
  <c r="AA22" i="3" s="1"/>
  <c r="Y18" i="2"/>
  <c r="Y21" i="2" s="1"/>
  <c r="Y27" i="2" s="1"/>
  <c r="Y28" i="2" s="1"/>
  <c r="Y29" i="2" s="1"/>
  <c r="Y34" i="2" s="1"/>
  <c r="AC13" i="3"/>
  <c r="AB14" i="3"/>
  <c r="AB16" i="3"/>
  <c r="W30" i="2"/>
  <c r="V34" i="2"/>
  <c r="V30" i="2"/>
  <c r="V28" i="3"/>
  <c r="V29" i="3" s="1"/>
  <c r="V30" i="3" s="1"/>
  <c r="W21" i="3"/>
  <c r="U31" i="3"/>
  <c r="U35" i="3"/>
  <c r="AB7" i="2"/>
  <c r="AB12" i="2" s="1"/>
  <c r="Z13" i="2"/>
  <c r="Z15" i="2"/>
  <c r="X34" i="2"/>
  <c r="X30" i="2"/>
  <c r="AB19" i="3" l="1"/>
  <c r="AB22" i="3" s="1"/>
  <c r="Z18" i="2"/>
  <c r="Z21" i="2" s="1"/>
  <c r="Z27" i="2" s="1"/>
  <c r="Z28" i="2" s="1"/>
  <c r="Z29" i="2" s="1"/>
  <c r="AD13" i="3"/>
  <c r="AC16" i="3"/>
  <c r="AC14" i="3"/>
  <c r="W28" i="3"/>
  <c r="W29" i="3" s="1"/>
  <c r="W30" i="3" s="1"/>
  <c r="X21" i="3"/>
  <c r="Y21" i="3" s="1"/>
  <c r="V35" i="3"/>
  <c r="V31" i="3"/>
  <c r="AD7" i="2"/>
  <c r="Y30" i="2"/>
  <c r="AA13" i="2"/>
  <c r="AA15" i="2"/>
  <c r="AC7" i="2"/>
  <c r="AC12" i="2" s="1"/>
  <c r="AC19" i="3" l="1"/>
  <c r="AC22" i="3" s="1"/>
  <c r="AA18" i="2"/>
  <c r="AA21" i="2" s="1"/>
  <c r="AA27" i="2" s="1"/>
  <c r="Z21" i="3"/>
  <c r="Y28" i="3"/>
  <c r="Y29" i="3" s="1"/>
  <c r="Y30" i="3" s="1"/>
  <c r="AD16" i="3"/>
  <c r="AD14" i="3"/>
  <c r="AE27" i="2"/>
  <c r="AE36" i="2" s="1"/>
  <c r="O39" i="2" s="1"/>
  <c r="AD12" i="2"/>
  <c r="X28" i="3"/>
  <c r="X29" i="3" s="1"/>
  <c r="X30" i="3" s="1"/>
  <c r="W35" i="3"/>
  <c r="W31" i="3"/>
  <c r="AB13" i="2"/>
  <c r="AB15" i="2"/>
  <c r="Z34" i="2"/>
  <c r="Z30" i="2"/>
  <c r="AD19" i="3" l="1"/>
  <c r="AD22" i="3" s="1"/>
  <c r="AB18" i="2"/>
  <c r="AB21" i="2" s="1"/>
  <c r="AB27" i="2" s="1"/>
  <c r="AB28" i="2" s="1"/>
  <c r="AB29" i="2" s="1"/>
  <c r="Y35" i="3"/>
  <c r="Y31" i="3"/>
  <c r="AA21" i="3"/>
  <c r="Z28" i="3"/>
  <c r="Z29" i="3" s="1"/>
  <c r="Z30" i="3" s="1"/>
  <c r="AA28" i="2"/>
  <c r="AA29" i="2" s="1"/>
  <c r="AA34" i="2" s="1"/>
  <c r="X35" i="3"/>
  <c r="X31" i="3"/>
  <c r="AD15" i="2"/>
  <c r="AD18" i="2" s="1"/>
  <c r="AD13" i="2"/>
  <c r="AC15" i="2"/>
  <c r="AC13" i="2"/>
  <c r="AC18" i="2" l="1"/>
  <c r="AC27" i="2" s="1"/>
  <c r="AC28" i="2" s="1"/>
  <c r="AC29" i="2" s="1"/>
  <c r="Z31" i="3"/>
  <c r="Z35" i="3"/>
  <c r="AB21" i="3"/>
  <c r="AA28" i="3"/>
  <c r="AA30" i="2"/>
  <c r="AD27" i="2"/>
  <c r="AB34" i="2"/>
  <c r="AB30" i="2"/>
  <c r="AC21" i="3" l="1"/>
  <c r="AB28" i="3"/>
  <c r="AB29" i="3" s="1"/>
  <c r="AB30" i="3" s="1"/>
  <c r="AA29" i="3"/>
  <c r="AA30" i="3" s="1"/>
  <c r="L39" i="2"/>
  <c r="M39" i="2" s="1"/>
  <c r="AD28" i="2"/>
  <c r="AD29" i="2" s="1"/>
  <c r="AD34" i="2" s="1"/>
  <c r="AC34" i="2"/>
  <c r="AC30" i="2"/>
  <c r="AA31" i="3" l="1"/>
  <c r="AA35" i="3"/>
  <c r="AB31" i="3"/>
  <c r="AB35" i="3"/>
  <c r="AD21" i="3"/>
  <c r="AD28" i="3" s="1"/>
  <c r="AD29" i="3" s="1"/>
  <c r="AD30" i="3" s="1"/>
  <c r="AC28" i="3"/>
  <c r="AD30" i="2"/>
  <c r="AC29" i="3" l="1"/>
  <c r="AC30" i="3" s="1"/>
  <c r="L40" i="2"/>
  <c r="M40" i="2" s="1"/>
  <c r="M41" i="2" s="1"/>
  <c r="AD35" i="3"/>
  <c r="AD31" i="3"/>
  <c r="AE30" i="2"/>
  <c r="AC35" i="3" l="1"/>
  <c r="AC31" i="3"/>
  <c r="AE31" i="3" s="1"/>
  <c r="B12" i="1"/>
  <c r="B10" i="1"/>
</calcChain>
</file>

<file path=xl/sharedStrings.xml><?xml version="1.0" encoding="utf-8"?>
<sst xmlns="http://schemas.openxmlformats.org/spreadsheetml/2006/main" count="74" uniqueCount="46">
  <si>
    <t>Margarita Garcia</t>
  </si>
  <si>
    <t xml:space="preserve">Jorge Garcia </t>
  </si>
  <si>
    <t xml:space="preserve">Full drop </t>
  </si>
  <si>
    <t>07/01/2021/06/30/2029</t>
  </si>
  <si>
    <t xml:space="preserve">Pension </t>
  </si>
  <si>
    <t xml:space="preserve">Sick days </t>
  </si>
  <si>
    <t xml:space="preserve">Social age 62 </t>
  </si>
  <si>
    <t xml:space="preserve">Husband is sick for 5 years and Maggie is taking care of him </t>
  </si>
  <si>
    <t>Assets</t>
  </si>
  <si>
    <t>Year</t>
  </si>
  <si>
    <t xml:space="preserve">DROP </t>
  </si>
  <si>
    <t>Income</t>
  </si>
  <si>
    <t xml:space="preserve">FRS Pension </t>
  </si>
  <si>
    <t>Income from assets</t>
  </si>
  <si>
    <t>Total monthly income</t>
  </si>
  <si>
    <t>Gross Taxable income</t>
  </si>
  <si>
    <t xml:space="preserve">Standard Deduction </t>
  </si>
  <si>
    <t>Taxable Income</t>
  </si>
  <si>
    <t>Tax Brackets</t>
  </si>
  <si>
    <t>Annual taxes</t>
  </si>
  <si>
    <t>Monthly taxes</t>
  </si>
  <si>
    <t xml:space="preserve">Net Monthly income </t>
  </si>
  <si>
    <t>Net Annual income</t>
  </si>
  <si>
    <t>Monthly Expenses</t>
  </si>
  <si>
    <t>Surplus income</t>
  </si>
  <si>
    <t>Roth Growth Rate</t>
  </si>
  <si>
    <t xml:space="preserve">Pre Roth </t>
  </si>
  <si>
    <t>Assets Age 73</t>
  </si>
  <si>
    <t xml:space="preserve">Taxable </t>
  </si>
  <si>
    <t>Tax Equivalent</t>
  </si>
  <si>
    <t xml:space="preserve">Expenses </t>
  </si>
  <si>
    <t>Age Jorge</t>
  </si>
  <si>
    <t>Age Maggie</t>
  </si>
  <si>
    <t xml:space="preserve">Social Security Maggie </t>
  </si>
  <si>
    <t>Social Security Jorge</t>
  </si>
  <si>
    <t xml:space="preserve">Roth </t>
  </si>
  <si>
    <t>Tax Free</t>
  </si>
  <si>
    <t xml:space="preserve">Scenario </t>
  </si>
  <si>
    <t xml:space="preserve">Total </t>
  </si>
  <si>
    <t>After tax assets age73</t>
  </si>
  <si>
    <t xml:space="preserve">No Roth conversion </t>
  </si>
  <si>
    <t xml:space="preserve">With Roth conversion </t>
  </si>
  <si>
    <t>Taxes  62-72</t>
  </si>
  <si>
    <t>Taxes 73-90</t>
  </si>
  <si>
    <t>Inheritance age 90</t>
  </si>
  <si>
    <t xml:space="preserve">Social Security deduction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</si>
</sst>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ck">
        <color theme="5"/>
      </left>
      <right style="thin">
        <color theme="5"/>
      </right>
      <top style="thick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ck">
        <color theme="5"/>
      </top>
      <bottom style="thin">
        <color theme="5"/>
      </bottom>
      <diagonal/>
    </border>
    <border>
      <left style="thick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ck">
        <color theme="5"/>
      </left>
      <right style="thin">
        <color theme="5"/>
      </right>
      <top style="thin">
        <color theme="5"/>
      </top>
      <bottom style="thick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ck">
        <color theme="5"/>
      </bottom>
      <diagonal/>
    </border>
    <border>
      <left style="thick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ck">
        <color theme="5"/>
      </left>
      <right/>
      <top/>
      <bottom/>
      <diagonal/>
    </border>
    <border>
      <left/>
      <right/>
      <top/>
      <bottom style="thick">
        <color theme="5"/>
      </bottom>
      <diagonal/>
    </border>
    <border>
      <left/>
      <right/>
      <top style="thick">
        <color theme="5"/>
      </top>
      <bottom/>
      <diagonal/>
    </border>
    <border>
      <left style="thick">
        <color theme="5"/>
      </left>
      <right style="thin">
        <color rgb="FF00B050"/>
      </right>
      <top style="thick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ck">
        <color rgb="FF00B050"/>
      </top>
      <bottom style="thin">
        <color rgb="FF00B050"/>
      </bottom>
      <diagonal/>
    </border>
    <border>
      <left style="thick">
        <color theme="5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ck">
        <color theme="5"/>
      </left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thick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ck">
        <color theme="5"/>
      </left>
      <right style="thin">
        <color theme="5"/>
      </right>
      <top style="thick">
        <color theme="5"/>
      </top>
      <bottom style="thick">
        <color theme="5"/>
      </bottom>
      <diagonal/>
    </border>
    <border>
      <left style="thin">
        <color theme="5"/>
      </left>
      <right style="thin">
        <color theme="5"/>
      </right>
      <top style="thick">
        <color theme="5"/>
      </top>
      <bottom style="thick">
        <color theme="5"/>
      </bottom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/>
      <right style="thin">
        <color theme="5"/>
      </right>
      <top/>
      <bottom style="thick">
        <color theme="5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5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/>
    <xf numFmtId="1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/>
    <xf numFmtId="1" fontId="3" fillId="2" borderId="4" xfId="0" applyNumberFormat="1" applyFont="1" applyFill="1" applyBorder="1" applyAlignment="1">
      <alignment horizontal="center"/>
    </xf>
    <xf numFmtId="1" fontId="3" fillId="3" borderId="4" xfId="0" applyNumberFormat="1" applyFont="1" applyFill="1" applyBorder="1" applyAlignment="1">
      <alignment horizontal="center"/>
    </xf>
    <xf numFmtId="0" fontId="3" fillId="2" borderId="5" xfId="0" applyFont="1" applyFill="1" applyBorder="1"/>
    <xf numFmtId="1" fontId="3" fillId="2" borderId="6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0" fontId="3" fillId="0" borderId="7" xfId="0" applyFont="1" applyBorder="1"/>
    <xf numFmtId="164" fontId="3" fillId="0" borderId="8" xfId="0" applyNumberFormat="1" applyFont="1" applyBorder="1" applyAlignment="1">
      <alignment horizontal="center" vertical="center"/>
    </xf>
    <xf numFmtId="0" fontId="3" fillId="0" borderId="5" xfId="0" applyFont="1" applyBorder="1"/>
    <xf numFmtId="164" fontId="4" fillId="0" borderId="6" xfId="0" applyNumberFormat="1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" xfId="0" applyFont="1" applyBorder="1"/>
    <xf numFmtId="164" fontId="5" fillId="0" borderId="2" xfId="0" applyNumberFormat="1" applyFont="1" applyBorder="1" applyAlignment="1">
      <alignment horizontal="center" vertical="center"/>
    </xf>
    <xf numFmtId="0" fontId="3" fillId="0" borderId="3" xfId="0" applyFont="1" applyBorder="1"/>
    <xf numFmtId="164" fontId="5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0" fontId="0" fillId="0" borderId="11" xfId="0" applyBorder="1"/>
    <xf numFmtId="0" fontId="3" fillId="0" borderId="12" xfId="0" applyFont="1" applyBorder="1"/>
    <xf numFmtId="164" fontId="0" fillId="0" borderId="13" xfId="0" applyNumberFormat="1" applyBorder="1" applyAlignment="1">
      <alignment horizontal="center"/>
    </xf>
    <xf numFmtId="0" fontId="3" fillId="0" borderId="14" xfId="0" applyFont="1" applyBorder="1"/>
    <xf numFmtId="164" fontId="0" fillId="0" borderId="15" xfId="0" applyNumberFormat="1" applyBorder="1" applyAlignment="1">
      <alignment horizontal="center"/>
    </xf>
    <xf numFmtId="0" fontId="3" fillId="0" borderId="16" xfId="0" applyFont="1" applyBorder="1"/>
    <xf numFmtId="164" fontId="0" fillId="0" borderId="17" xfId="0" applyNumberFormat="1" applyBorder="1" applyAlignment="1">
      <alignment horizontal="center"/>
    </xf>
    <xf numFmtId="0" fontId="7" fillId="0" borderId="0" xfId="0" applyFont="1"/>
    <xf numFmtId="9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/>
    <xf numFmtId="9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8" fillId="0" borderId="0" xfId="0" applyNumberFormat="1" applyFont="1"/>
    <xf numFmtId="164" fontId="0" fillId="0" borderId="18" xfId="0" applyNumberForma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164" fontId="0" fillId="4" borderId="0" xfId="0" applyNumberFormat="1" applyFill="1"/>
    <xf numFmtId="0" fontId="0" fillId="0" borderId="20" xfId="0" applyBorder="1"/>
    <xf numFmtId="164" fontId="0" fillId="0" borderId="21" xfId="0" applyNumberForma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0" fillId="0" borderId="22" xfId="0" applyBorder="1"/>
    <xf numFmtId="164" fontId="0" fillId="0" borderId="10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2" fillId="5" borderId="0" xfId="0" applyNumberFormat="1" applyFont="1" applyFill="1"/>
    <xf numFmtId="0" fontId="0" fillId="0" borderId="25" xfId="0" applyBorder="1"/>
    <xf numFmtId="164" fontId="1" fillId="0" borderId="11" xfId="0" applyNumberFormat="1" applyFont="1" applyBorder="1" applyAlignment="1">
      <alignment horizontal="center"/>
    </xf>
    <xf numFmtId="164" fontId="10" fillId="0" borderId="10" xfId="0" applyNumberFormat="1" applyFont="1" applyBorder="1" applyAlignment="1">
      <alignment horizontal="center"/>
    </xf>
    <xf numFmtId="164" fontId="0" fillId="5" borderId="0" xfId="0" applyNumberFormat="1" applyFill="1"/>
    <xf numFmtId="9" fontId="0" fillId="0" borderId="0" xfId="0" applyNumberFormat="1"/>
    <xf numFmtId="0" fontId="0" fillId="2" borderId="0" xfId="0" applyFill="1"/>
    <xf numFmtId="164" fontId="2" fillId="0" borderId="0" xfId="0" applyNumberFormat="1" applyFont="1"/>
    <xf numFmtId="0" fontId="3" fillId="0" borderId="20" xfId="0" applyFont="1" applyBorder="1"/>
    <xf numFmtId="164" fontId="4" fillId="0" borderId="21" xfId="0" applyNumberFormat="1" applyFont="1" applyBorder="1" applyAlignment="1">
      <alignment horizontal="center"/>
    </xf>
    <xf numFmtId="0" fontId="0" fillId="0" borderId="26" xfId="0" applyBorder="1" applyAlignment="1">
      <alignment wrapText="1"/>
    </xf>
    <xf numFmtId="164" fontId="0" fillId="0" borderId="26" xfId="0" applyNumberFormat="1" applyBorder="1" applyAlignment="1">
      <alignment horizontal="center" wrapText="1"/>
    </xf>
    <xf numFmtId="164" fontId="8" fillId="0" borderId="26" xfId="0" applyNumberFormat="1" applyFont="1" applyBorder="1" applyAlignment="1">
      <alignment horizontal="center" wrapText="1"/>
    </xf>
    <xf numFmtId="0" fontId="0" fillId="0" borderId="26" xfId="0" applyBorder="1"/>
    <xf numFmtId="0" fontId="7" fillId="6" borderId="26" xfId="0" applyFont="1" applyFill="1" applyBorder="1" applyAlignment="1">
      <alignment horizontal="left" vertical="top" wrapText="1"/>
    </xf>
    <xf numFmtId="0" fontId="2" fillId="6" borderId="26" xfId="0" applyFont="1" applyFill="1" applyBorder="1" applyAlignment="1">
      <alignment horizontal="left" vertical="top" wrapText="1"/>
    </xf>
    <xf numFmtId="0" fontId="7" fillId="6" borderId="26" xfId="0" applyFont="1" applyFill="1" applyBorder="1" applyAlignment="1">
      <alignment wrapText="1"/>
    </xf>
    <xf numFmtId="164" fontId="0" fillId="5" borderId="26" xfId="0" applyNumberFormat="1" applyFill="1" applyBorder="1" applyAlignment="1">
      <alignment horizontal="center"/>
    </xf>
    <xf numFmtId="0" fontId="3" fillId="0" borderId="27" xfId="0" applyFont="1" applyBorder="1"/>
    <xf numFmtId="164" fontId="0" fillId="0" borderId="28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18"/>
  <sheetViews>
    <sheetView workbookViewId="0">
      <selection activeCell="B10" sqref="B10"/>
    </sheetView>
  </sheetViews>
  <sheetFormatPr defaultRowHeight="15" x14ac:dyDescent="0.25"/>
  <cols>
    <col min="2" max="2" width="12" bestFit="1" customWidth="1"/>
    <col min="3" max="3" width="10" bestFit="1" customWidth="1"/>
  </cols>
  <sheetData>
    <row r="4" spans="1:3" x14ac:dyDescent="0.25">
      <c r="A4" t="s">
        <v>0</v>
      </c>
      <c r="C4" s="1">
        <v>24565</v>
      </c>
    </row>
    <row r="5" spans="1:3" x14ac:dyDescent="0.25">
      <c r="A5" t="s">
        <v>1</v>
      </c>
      <c r="B5" s="2"/>
      <c r="C5" s="1">
        <v>23686</v>
      </c>
    </row>
    <row r="6" spans="1:3" x14ac:dyDescent="0.25">
      <c r="B6" s="2"/>
    </row>
    <row r="7" spans="1:3" x14ac:dyDescent="0.25">
      <c r="B7" s="2"/>
    </row>
    <row r="8" spans="1:3" x14ac:dyDescent="0.25">
      <c r="A8" t="s">
        <v>2</v>
      </c>
      <c r="B8" s="2">
        <v>345326</v>
      </c>
      <c r="C8" t="s">
        <v>3</v>
      </c>
    </row>
    <row r="9" spans="1:3" x14ac:dyDescent="0.25">
      <c r="B9" s="2"/>
    </row>
    <row r="10" spans="1:3" x14ac:dyDescent="0.25">
      <c r="A10" t="s">
        <v>4</v>
      </c>
      <c r="B10" s="2">
        <f>B8*0.96*0.96*0.96/12/8</f>
        <v>3182.5244159999997</v>
      </c>
    </row>
    <row r="11" spans="1:3" x14ac:dyDescent="0.25">
      <c r="B11" s="2"/>
    </row>
    <row r="12" spans="1:3" x14ac:dyDescent="0.25">
      <c r="A12" t="s">
        <v>5</v>
      </c>
      <c r="B12" s="2">
        <f>750*37.5</f>
        <v>28125</v>
      </c>
    </row>
    <row r="13" spans="1:3" x14ac:dyDescent="0.25">
      <c r="A13" t="s">
        <v>6</v>
      </c>
      <c r="B13" s="2">
        <v>1800</v>
      </c>
    </row>
    <row r="14" spans="1:3" x14ac:dyDescent="0.25">
      <c r="B14" s="2"/>
    </row>
    <row r="15" spans="1:3" x14ac:dyDescent="0.25">
      <c r="A15" t="s">
        <v>30</v>
      </c>
      <c r="B15" s="2">
        <v>3700</v>
      </c>
    </row>
    <row r="18" spans="1:1" x14ac:dyDescent="0.25">
      <c r="A1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DB4D-5D91-437E-92E1-5AEDCB163CF9}">
  <dimension ref="B2:AE41"/>
  <sheetViews>
    <sheetView tabSelected="1" zoomScale="85" zoomScaleNormal="85" workbookViewId="0">
      <selection activeCell="R3" sqref="R3"/>
    </sheetView>
  </sheetViews>
  <sheetFormatPr defaultRowHeight="15" x14ac:dyDescent="0.25"/>
  <cols>
    <col min="4" max="4" width="32.28515625" customWidth="1"/>
    <col min="5" max="30" width="12.140625" customWidth="1"/>
    <col min="31" max="31" width="11.42578125" bestFit="1" customWidth="1"/>
  </cols>
  <sheetData>
    <row r="2" spans="3:30" ht="15.75" thickBot="1" x14ac:dyDescent="0.3">
      <c r="E2" s="3">
        <v>1</v>
      </c>
      <c r="F2" s="3">
        <v>2</v>
      </c>
      <c r="G2" s="3">
        <v>3</v>
      </c>
      <c r="H2" s="3">
        <v>4</v>
      </c>
      <c r="I2" s="3">
        <v>5</v>
      </c>
      <c r="J2" s="3">
        <v>6</v>
      </c>
      <c r="K2" s="3">
        <v>7</v>
      </c>
      <c r="L2" s="3">
        <v>8</v>
      </c>
      <c r="M2" s="3">
        <v>9</v>
      </c>
      <c r="N2" s="3">
        <v>10</v>
      </c>
      <c r="O2" s="3">
        <v>11</v>
      </c>
      <c r="P2" s="3">
        <v>12</v>
      </c>
      <c r="Q2" s="3">
        <v>13</v>
      </c>
      <c r="R2" s="3">
        <v>14</v>
      </c>
      <c r="S2" s="3">
        <v>15</v>
      </c>
      <c r="T2" s="3">
        <v>16</v>
      </c>
      <c r="U2" s="3">
        <v>17</v>
      </c>
      <c r="V2" s="3">
        <v>18</v>
      </c>
      <c r="W2" s="3">
        <v>19</v>
      </c>
      <c r="X2" s="3">
        <v>20</v>
      </c>
      <c r="Y2" s="3">
        <v>21</v>
      </c>
      <c r="Z2" s="3">
        <v>22</v>
      </c>
      <c r="AA2" s="3">
        <v>23</v>
      </c>
      <c r="AB2" s="3">
        <v>24</v>
      </c>
      <c r="AC2" s="3">
        <v>25</v>
      </c>
      <c r="AD2" s="3">
        <v>26</v>
      </c>
    </row>
    <row r="3" spans="3:30" ht="18" thickTop="1" x14ac:dyDescent="0.3">
      <c r="C3" t="s">
        <v>8</v>
      </c>
      <c r="D3" s="4" t="s">
        <v>31</v>
      </c>
      <c r="E3" s="5">
        <f>2029-1964</f>
        <v>65</v>
      </c>
      <c r="F3" s="5">
        <f t="shared" ref="F3:Q3" si="0">E3+1</f>
        <v>66</v>
      </c>
      <c r="G3" s="5">
        <f t="shared" si="0"/>
        <v>67</v>
      </c>
      <c r="H3" s="5">
        <f t="shared" si="0"/>
        <v>68</v>
      </c>
      <c r="I3" s="5">
        <f t="shared" si="0"/>
        <v>69</v>
      </c>
      <c r="J3" s="5">
        <f t="shared" si="0"/>
        <v>70</v>
      </c>
      <c r="K3" s="5">
        <f t="shared" si="0"/>
        <v>71</v>
      </c>
      <c r="L3" s="5">
        <f t="shared" si="0"/>
        <v>72</v>
      </c>
      <c r="M3" s="5">
        <f t="shared" si="0"/>
        <v>73</v>
      </c>
      <c r="N3" s="5">
        <f t="shared" si="0"/>
        <v>74</v>
      </c>
      <c r="O3" s="5">
        <f t="shared" si="0"/>
        <v>75</v>
      </c>
      <c r="P3" s="5">
        <f t="shared" si="0"/>
        <v>76</v>
      </c>
      <c r="Q3" s="5">
        <f t="shared" si="0"/>
        <v>77</v>
      </c>
      <c r="R3" s="5">
        <f t="shared" ref="R3:V5" si="1">Q3+1</f>
        <v>78</v>
      </c>
      <c r="S3" s="5">
        <f t="shared" si="1"/>
        <v>79</v>
      </c>
      <c r="T3" s="5">
        <f t="shared" si="1"/>
        <v>80</v>
      </c>
      <c r="U3" s="5">
        <f t="shared" si="1"/>
        <v>81</v>
      </c>
      <c r="V3" s="5">
        <f t="shared" si="1"/>
        <v>82</v>
      </c>
      <c r="W3" s="5">
        <f t="shared" ref="W3:AC5" si="2">V3+1</f>
        <v>83</v>
      </c>
      <c r="X3" s="5">
        <f t="shared" si="2"/>
        <v>84</v>
      </c>
      <c r="Y3" s="5">
        <f t="shared" si="2"/>
        <v>85</v>
      </c>
      <c r="Z3" s="5">
        <f t="shared" si="2"/>
        <v>86</v>
      </c>
      <c r="AA3" s="5">
        <f t="shared" si="2"/>
        <v>87</v>
      </c>
      <c r="AB3" s="5">
        <f t="shared" si="2"/>
        <v>88</v>
      </c>
      <c r="AC3" s="5">
        <f t="shared" si="2"/>
        <v>89</v>
      </c>
      <c r="AD3" s="5">
        <f t="shared" ref="AD3:AD5" si="3">AC3+1</f>
        <v>90</v>
      </c>
    </row>
    <row r="4" spans="3:30" ht="17.25" x14ac:dyDescent="0.3">
      <c r="D4" s="6" t="s">
        <v>32</v>
      </c>
      <c r="E4" s="7">
        <f>2029-1967</f>
        <v>62</v>
      </c>
      <c r="F4" s="7">
        <f t="shared" ref="F4:Q4" si="4">E4+1</f>
        <v>63</v>
      </c>
      <c r="G4" s="7">
        <f t="shared" si="4"/>
        <v>64</v>
      </c>
      <c r="H4" s="7">
        <f t="shared" si="4"/>
        <v>65</v>
      </c>
      <c r="I4" s="7">
        <f t="shared" si="4"/>
        <v>66</v>
      </c>
      <c r="J4" s="7">
        <f t="shared" si="4"/>
        <v>67</v>
      </c>
      <c r="K4" s="7">
        <f t="shared" si="4"/>
        <v>68</v>
      </c>
      <c r="L4" s="7">
        <f t="shared" si="4"/>
        <v>69</v>
      </c>
      <c r="M4" s="7">
        <f t="shared" si="4"/>
        <v>70</v>
      </c>
      <c r="N4" s="7">
        <f t="shared" si="4"/>
        <v>71</v>
      </c>
      <c r="O4" s="7">
        <f t="shared" si="4"/>
        <v>72</v>
      </c>
      <c r="P4" s="8">
        <f t="shared" si="4"/>
        <v>73</v>
      </c>
      <c r="Q4" s="7">
        <f t="shared" si="4"/>
        <v>74</v>
      </c>
      <c r="R4" s="7">
        <f t="shared" si="1"/>
        <v>75</v>
      </c>
      <c r="S4" s="7">
        <f t="shared" si="1"/>
        <v>76</v>
      </c>
      <c r="T4" s="7">
        <f t="shared" si="1"/>
        <v>77</v>
      </c>
      <c r="U4" s="7">
        <f t="shared" si="1"/>
        <v>78</v>
      </c>
      <c r="V4" s="7">
        <f t="shared" si="1"/>
        <v>79</v>
      </c>
      <c r="W4" s="7">
        <f t="shared" si="2"/>
        <v>80</v>
      </c>
      <c r="X4" s="7">
        <f t="shared" si="2"/>
        <v>81</v>
      </c>
      <c r="Y4" s="7">
        <f t="shared" si="2"/>
        <v>82</v>
      </c>
      <c r="Z4" s="7">
        <f t="shared" si="2"/>
        <v>83</v>
      </c>
      <c r="AA4" s="7">
        <f t="shared" si="2"/>
        <v>84</v>
      </c>
      <c r="AB4" s="7">
        <f t="shared" si="2"/>
        <v>85</v>
      </c>
      <c r="AC4" s="7">
        <f t="shared" si="2"/>
        <v>86</v>
      </c>
      <c r="AD4" s="7">
        <f t="shared" si="3"/>
        <v>87</v>
      </c>
    </row>
    <row r="5" spans="3:30" ht="18" thickBot="1" x14ac:dyDescent="0.35">
      <c r="D5" s="9" t="s">
        <v>9</v>
      </c>
      <c r="E5" s="10">
        <v>2029</v>
      </c>
      <c r="F5" s="10">
        <f t="shared" ref="F5:Q5" si="5">E5+1</f>
        <v>2030</v>
      </c>
      <c r="G5" s="10">
        <f t="shared" si="5"/>
        <v>2031</v>
      </c>
      <c r="H5" s="10">
        <f t="shared" si="5"/>
        <v>2032</v>
      </c>
      <c r="I5" s="10">
        <f t="shared" si="5"/>
        <v>2033</v>
      </c>
      <c r="J5" s="10">
        <f t="shared" si="5"/>
        <v>2034</v>
      </c>
      <c r="K5" s="10">
        <f t="shared" si="5"/>
        <v>2035</v>
      </c>
      <c r="L5" s="10">
        <f t="shared" si="5"/>
        <v>2036</v>
      </c>
      <c r="M5" s="10">
        <f t="shared" si="5"/>
        <v>2037</v>
      </c>
      <c r="N5" s="10">
        <f t="shared" si="5"/>
        <v>2038</v>
      </c>
      <c r="O5" s="10">
        <f t="shared" si="5"/>
        <v>2039</v>
      </c>
      <c r="P5" s="10">
        <f t="shared" si="5"/>
        <v>2040</v>
      </c>
      <c r="Q5" s="10">
        <f t="shared" si="5"/>
        <v>2041</v>
      </c>
      <c r="R5" s="11">
        <f t="shared" si="1"/>
        <v>2042</v>
      </c>
      <c r="S5" s="11">
        <f t="shared" si="1"/>
        <v>2043</v>
      </c>
      <c r="T5" s="11">
        <f t="shared" si="1"/>
        <v>2044</v>
      </c>
      <c r="U5" s="11">
        <f t="shared" si="1"/>
        <v>2045</v>
      </c>
      <c r="V5" s="11">
        <f t="shared" si="1"/>
        <v>2046</v>
      </c>
      <c r="W5" s="11">
        <f t="shared" si="2"/>
        <v>2047</v>
      </c>
      <c r="X5" s="11">
        <f t="shared" si="2"/>
        <v>2048</v>
      </c>
      <c r="Y5" s="11">
        <f t="shared" si="2"/>
        <v>2049</v>
      </c>
      <c r="Z5" s="11">
        <f t="shared" si="2"/>
        <v>2050</v>
      </c>
      <c r="AA5" s="11">
        <f t="shared" si="2"/>
        <v>2051</v>
      </c>
      <c r="AB5" s="11">
        <f t="shared" si="2"/>
        <v>2052</v>
      </c>
      <c r="AC5" s="11">
        <f t="shared" si="2"/>
        <v>2053</v>
      </c>
      <c r="AD5" s="11">
        <f t="shared" si="3"/>
        <v>2054</v>
      </c>
    </row>
    <row r="6" spans="3:30" ht="18" thickTop="1" x14ac:dyDescent="0.3">
      <c r="D6" s="13" t="s">
        <v>10</v>
      </c>
      <c r="E6" s="14">
        <f>Sheet1!B8</f>
        <v>345326</v>
      </c>
      <c r="F6" s="14">
        <f t="shared" ref="F6:P6" si="6">E6*1.05</f>
        <v>362592.3</v>
      </c>
      <c r="G6" s="14">
        <f t="shared" si="6"/>
        <v>380721.91499999998</v>
      </c>
      <c r="H6" s="14">
        <f t="shared" si="6"/>
        <v>399758.01075000002</v>
      </c>
      <c r="I6" s="14">
        <f t="shared" si="6"/>
        <v>419745.91128750006</v>
      </c>
      <c r="J6" s="14">
        <f t="shared" si="6"/>
        <v>440733.20685187506</v>
      </c>
      <c r="K6" s="14">
        <f t="shared" si="6"/>
        <v>462769.86719446885</v>
      </c>
      <c r="L6" s="14">
        <f t="shared" si="6"/>
        <v>485908.36055419233</v>
      </c>
      <c r="M6" s="14">
        <f t="shared" si="6"/>
        <v>510203.77858190198</v>
      </c>
      <c r="N6" s="14">
        <f t="shared" si="6"/>
        <v>535713.96751099708</v>
      </c>
      <c r="O6" s="14">
        <f t="shared" si="6"/>
        <v>562499.66588654695</v>
      </c>
      <c r="P6" s="14">
        <f t="shared" si="6"/>
        <v>590624.64918087434</v>
      </c>
      <c r="Q6" s="14">
        <f>P6</f>
        <v>590624.64918087434</v>
      </c>
      <c r="R6" s="14">
        <f t="shared" ref="R6:AD6" si="7">Q6</f>
        <v>590624.64918087434</v>
      </c>
      <c r="S6" s="14">
        <f t="shared" si="7"/>
        <v>590624.64918087434</v>
      </c>
      <c r="T6" s="14">
        <f t="shared" si="7"/>
        <v>590624.64918087434</v>
      </c>
      <c r="U6" s="14">
        <f t="shared" si="7"/>
        <v>590624.64918087434</v>
      </c>
      <c r="V6" s="14">
        <f t="shared" si="7"/>
        <v>590624.64918087434</v>
      </c>
      <c r="W6" s="14">
        <f t="shared" si="7"/>
        <v>590624.64918087434</v>
      </c>
      <c r="X6" s="14">
        <f t="shared" si="7"/>
        <v>590624.64918087434</v>
      </c>
      <c r="Y6" s="14">
        <f t="shared" si="7"/>
        <v>590624.64918087434</v>
      </c>
      <c r="Z6" s="14">
        <f t="shared" si="7"/>
        <v>590624.64918087434</v>
      </c>
      <c r="AA6" s="14">
        <f t="shared" si="7"/>
        <v>590624.64918087434</v>
      </c>
      <c r="AB6" s="14">
        <f t="shared" si="7"/>
        <v>590624.64918087434</v>
      </c>
      <c r="AC6" s="14">
        <f t="shared" si="7"/>
        <v>590624.64918087434</v>
      </c>
      <c r="AD6" s="14">
        <f t="shared" si="7"/>
        <v>590624.64918087434</v>
      </c>
    </row>
    <row r="7" spans="3:30" ht="18" thickBot="1" x14ac:dyDescent="0.35">
      <c r="D7" s="15"/>
      <c r="E7" s="16">
        <f t="shared" ref="E7:AC7" si="8">SUM(E6:E6)</f>
        <v>345326</v>
      </c>
      <c r="F7" s="16">
        <f t="shared" si="8"/>
        <v>362592.3</v>
      </c>
      <c r="G7" s="16">
        <f t="shared" si="8"/>
        <v>380721.91499999998</v>
      </c>
      <c r="H7" s="16">
        <f t="shared" si="8"/>
        <v>399758.01075000002</v>
      </c>
      <c r="I7" s="16">
        <f t="shared" si="8"/>
        <v>419745.91128750006</v>
      </c>
      <c r="J7" s="16">
        <f t="shared" si="8"/>
        <v>440733.20685187506</v>
      </c>
      <c r="K7" s="16">
        <f t="shared" si="8"/>
        <v>462769.86719446885</v>
      </c>
      <c r="L7" s="16">
        <f t="shared" si="8"/>
        <v>485908.36055419233</v>
      </c>
      <c r="M7" s="16">
        <f t="shared" si="8"/>
        <v>510203.77858190198</v>
      </c>
      <c r="N7" s="16">
        <f t="shared" si="8"/>
        <v>535713.96751099708</v>
      </c>
      <c r="O7" s="16">
        <f t="shared" si="8"/>
        <v>562499.66588654695</v>
      </c>
      <c r="P7" s="16">
        <f t="shared" si="8"/>
        <v>590624.64918087434</v>
      </c>
      <c r="Q7" s="16">
        <f t="shared" si="8"/>
        <v>590624.64918087434</v>
      </c>
      <c r="R7" s="16">
        <f t="shared" si="8"/>
        <v>590624.64918087434</v>
      </c>
      <c r="S7" s="16">
        <f t="shared" si="8"/>
        <v>590624.64918087434</v>
      </c>
      <c r="T7" s="16">
        <f t="shared" si="8"/>
        <v>590624.64918087434</v>
      </c>
      <c r="U7" s="16">
        <f t="shared" si="8"/>
        <v>590624.64918087434</v>
      </c>
      <c r="V7" s="16">
        <f t="shared" si="8"/>
        <v>590624.64918087434</v>
      </c>
      <c r="W7" s="16">
        <f t="shared" si="8"/>
        <v>590624.64918087434</v>
      </c>
      <c r="X7" s="16">
        <f t="shared" si="8"/>
        <v>590624.64918087434</v>
      </c>
      <c r="Y7" s="16">
        <f t="shared" si="8"/>
        <v>590624.64918087434</v>
      </c>
      <c r="Z7" s="16">
        <f t="shared" si="8"/>
        <v>590624.64918087434</v>
      </c>
      <c r="AA7" s="16">
        <f t="shared" si="8"/>
        <v>590624.64918087434</v>
      </c>
      <c r="AB7" s="16">
        <f t="shared" si="8"/>
        <v>590624.64918087434</v>
      </c>
      <c r="AC7" s="16">
        <f t="shared" si="8"/>
        <v>590624.64918087434</v>
      </c>
      <c r="AD7" s="16">
        <f t="shared" ref="AD7" si="9">SUM(AD6:AD6)</f>
        <v>590624.64918087434</v>
      </c>
    </row>
    <row r="8" spans="3:30" ht="16.5" thickTop="1" thickBot="1" x14ac:dyDescent="0.3">
      <c r="D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spans="3:30" ht="18" thickTop="1" x14ac:dyDescent="0.3">
      <c r="C9" t="s">
        <v>11</v>
      </c>
      <c r="D9" s="19" t="s">
        <v>12</v>
      </c>
      <c r="E9" s="20">
        <v>3183</v>
      </c>
      <c r="F9" s="20">
        <f t="shared" ref="F9:M11" si="10">E9*1.02</f>
        <v>3246.66</v>
      </c>
      <c r="G9" s="20">
        <f t="shared" si="10"/>
        <v>3311.5931999999998</v>
      </c>
      <c r="H9" s="20">
        <f t="shared" si="10"/>
        <v>3377.8250639999997</v>
      </c>
      <c r="I9" s="20">
        <f t="shared" si="10"/>
        <v>3445.3815652799999</v>
      </c>
      <c r="J9" s="20">
        <f t="shared" si="10"/>
        <v>3514.2891965856002</v>
      </c>
      <c r="K9" s="20">
        <f t="shared" si="10"/>
        <v>3584.5749805173123</v>
      </c>
      <c r="L9" s="20">
        <f t="shared" si="10"/>
        <v>3656.2664801276587</v>
      </c>
      <c r="M9" s="20">
        <f t="shared" si="10"/>
        <v>3729.3918097302121</v>
      </c>
      <c r="N9" s="20">
        <f t="shared" ref="N9:AD11" si="11">M9*1.02</f>
        <v>3803.9796459248164</v>
      </c>
      <c r="O9" s="20">
        <f t="shared" si="11"/>
        <v>3880.0592388433129</v>
      </c>
      <c r="P9" s="20">
        <f t="shared" si="11"/>
        <v>3957.6604236201792</v>
      </c>
      <c r="Q9" s="20">
        <f t="shared" si="11"/>
        <v>4036.8136320925828</v>
      </c>
      <c r="R9" s="20">
        <f t="shared" si="11"/>
        <v>4117.5499047344347</v>
      </c>
      <c r="S9" s="20">
        <f t="shared" si="11"/>
        <v>4199.9009028291239</v>
      </c>
      <c r="T9" s="20">
        <f t="shared" si="11"/>
        <v>4283.8989208857065</v>
      </c>
      <c r="U9" s="20">
        <f t="shared" si="11"/>
        <v>4369.5768993034208</v>
      </c>
      <c r="V9" s="20">
        <f t="shared" si="11"/>
        <v>4456.968437289489</v>
      </c>
      <c r="W9" s="20">
        <f t="shared" si="11"/>
        <v>4546.1078060352793</v>
      </c>
      <c r="X9" s="20">
        <f t="shared" si="11"/>
        <v>4637.0299621559852</v>
      </c>
      <c r="Y9" s="20">
        <f t="shared" si="11"/>
        <v>4729.7705613991047</v>
      </c>
      <c r="Z9" s="20">
        <f t="shared" si="11"/>
        <v>4824.3659726270871</v>
      </c>
      <c r="AA9" s="20">
        <f t="shared" si="11"/>
        <v>4920.8532920796288</v>
      </c>
      <c r="AB9" s="20">
        <f t="shared" si="11"/>
        <v>5019.2703579212211</v>
      </c>
      <c r="AC9" s="20">
        <f t="shared" si="11"/>
        <v>5119.6557650796458</v>
      </c>
      <c r="AD9" s="20">
        <f t="shared" si="11"/>
        <v>5222.0488803812386</v>
      </c>
    </row>
    <row r="10" spans="3:30" ht="17.25" x14ac:dyDescent="0.3">
      <c r="D10" s="21" t="s">
        <v>33</v>
      </c>
      <c r="E10" s="22">
        <f>Sheet1!B13</f>
        <v>1800</v>
      </c>
      <c r="F10" s="22">
        <f t="shared" ref="F10:U12" si="12">E10*1.02</f>
        <v>1836</v>
      </c>
      <c r="G10" s="22">
        <f t="shared" si="12"/>
        <v>1872.72</v>
      </c>
      <c r="H10" s="22">
        <f t="shared" si="12"/>
        <v>1910.1744000000001</v>
      </c>
      <c r="I10" s="22">
        <f t="shared" si="12"/>
        <v>1948.3778880000002</v>
      </c>
      <c r="J10" s="22">
        <f t="shared" si="12"/>
        <v>1987.3454457600003</v>
      </c>
      <c r="K10" s="22">
        <f t="shared" si="12"/>
        <v>2027.0923546752003</v>
      </c>
      <c r="L10" s="22">
        <f t="shared" si="10"/>
        <v>2067.6342017687043</v>
      </c>
      <c r="M10" s="22">
        <f t="shared" si="10"/>
        <v>2108.9868858040786</v>
      </c>
      <c r="N10" s="22">
        <f t="shared" si="11"/>
        <v>2151.1666235201601</v>
      </c>
      <c r="O10" s="22">
        <f t="shared" si="11"/>
        <v>2194.1899559905632</v>
      </c>
      <c r="P10" s="22">
        <f t="shared" si="11"/>
        <v>2238.0737551103743</v>
      </c>
      <c r="Q10" s="22">
        <f t="shared" si="11"/>
        <v>2282.8352302125818</v>
      </c>
      <c r="R10" s="22">
        <f t="shared" si="11"/>
        <v>2328.4919348168337</v>
      </c>
      <c r="S10" s="22">
        <f t="shared" si="12"/>
        <v>2375.0617735131705</v>
      </c>
      <c r="T10" s="22">
        <f t="shared" si="12"/>
        <v>2422.563008983434</v>
      </c>
      <c r="U10" s="22">
        <f t="shared" si="12"/>
        <v>2471.0142691631027</v>
      </c>
      <c r="V10" s="22">
        <f t="shared" ref="V10:AC11" si="13">U10*1.02</f>
        <v>2520.4345545463648</v>
      </c>
      <c r="W10" s="22">
        <f t="shared" si="13"/>
        <v>2570.8432456372921</v>
      </c>
      <c r="X10" s="22">
        <f t="shared" si="13"/>
        <v>2622.260110550038</v>
      </c>
      <c r="Y10" s="22">
        <f t="shared" si="13"/>
        <v>2674.7053127610388</v>
      </c>
      <c r="Z10" s="22">
        <f t="shared" si="13"/>
        <v>2728.1994190162595</v>
      </c>
      <c r="AA10" s="22">
        <f t="shared" si="13"/>
        <v>2782.7634073965846</v>
      </c>
      <c r="AB10" s="22">
        <f t="shared" si="13"/>
        <v>2838.4186755445162</v>
      </c>
      <c r="AC10" s="22">
        <f t="shared" si="13"/>
        <v>2895.1870490554065</v>
      </c>
      <c r="AD10" s="22">
        <f t="shared" ref="AD10:AD11" si="14">AC10*1.02</f>
        <v>2953.0907900365146</v>
      </c>
    </row>
    <row r="11" spans="3:30" ht="17.25" x14ac:dyDescent="0.3">
      <c r="D11" s="21" t="s">
        <v>34</v>
      </c>
      <c r="E11" s="22">
        <v>1200</v>
      </c>
      <c r="F11" s="22">
        <f t="shared" si="12"/>
        <v>1224</v>
      </c>
      <c r="G11" s="22">
        <f t="shared" si="12"/>
        <v>1248.48</v>
      </c>
      <c r="H11" s="22">
        <f t="shared" si="12"/>
        <v>1273.4496000000001</v>
      </c>
      <c r="I11" s="22">
        <f t="shared" si="12"/>
        <v>1298.9185920000002</v>
      </c>
      <c r="J11" s="22">
        <f t="shared" si="12"/>
        <v>1324.8969638400004</v>
      </c>
      <c r="K11" s="22">
        <f t="shared" si="12"/>
        <v>1351.3949031168004</v>
      </c>
      <c r="L11" s="22">
        <f t="shared" si="12"/>
        <v>1378.4228011791365</v>
      </c>
      <c r="M11" s="22">
        <f t="shared" si="10"/>
        <v>1405.9912572027192</v>
      </c>
      <c r="N11" s="22">
        <f t="shared" si="11"/>
        <v>1434.1110823467736</v>
      </c>
      <c r="O11" s="22">
        <f t="shared" si="11"/>
        <v>1462.7933039937091</v>
      </c>
      <c r="P11" s="22">
        <f t="shared" si="11"/>
        <v>1492.0491700735834</v>
      </c>
      <c r="Q11" s="22">
        <f t="shared" si="11"/>
        <v>1521.8901534750551</v>
      </c>
      <c r="R11" s="22">
        <f t="shared" si="12"/>
        <v>1552.3279565445562</v>
      </c>
      <c r="S11" s="22">
        <f t="shared" si="12"/>
        <v>1583.3745156754474</v>
      </c>
      <c r="T11" s="22">
        <f t="shared" si="12"/>
        <v>1615.0420059889564</v>
      </c>
      <c r="U11" s="22">
        <f t="shared" si="12"/>
        <v>1647.3428461087356</v>
      </c>
      <c r="V11" s="22">
        <f t="shared" si="13"/>
        <v>1680.2897030309102</v>
      </c>
      <c r="W11" s="22">
        <f t="shared" si="13"/>
        <v>1713.8954970915286</v>
      </c>
      <c r="X11" s="22">
        <f t="shared" si="13"/>
        <v>1748.1734070333591</v>
      </c>
      <c r="Y11" s="22">
        <f t="shared" si="13"/>
        <v>1783.1368751740263</v>
      </c>
      <c r="Z11" s="22">
        <f t="shared" si="13"/>
        <v>1818.7996126775067</v>
      </c>
      <c r="AA11" s="22">
        <f t="shared" si="13"/>
        <v>1855.1756049310568</v>
      </c>
      <c r="AB11" s="22">
        <f t="shared" si="13"/>
        <v>1892.279117029678</v>
      </c>
      <c r="AC11" s="22">
        <f t="shared" si="13"/>
        <v>1930.1246993702716</v>
      </c>
      <c r="AD11" s="22">
        <f t="shared" si="14"/>
        <v>1968.7271933576772</v>
      </c>
    </row>
    <row r="12" spans="3:30" ht="17.25" x14ac:dyDescent="0.3">
      <c r="D12" s="21" t="s">
        <v>13</v>
      </c>
      <c r="E12" s="23">
        <v>0</v>
      </c>
      <c r="F12" s="22">
        <f t="shared" si="12"/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f>P7*5%/12</f>
        <v>2460.9360382536433</v>
      </c>
      <c r="Q12" s="23">
        <f t="shared" ref="Q12:AD12" si="15">Q7*5%/12</f>
        <v>2460.9360382536433</v>
      </c>
      <c r="R12" s="23">
        <f t="shared" si="15"/>
        <v>2460.9360382536433</v>
      </c>
      <c r="S12" s="23">
        <f t="shared" si="15"/>
        <v>2460.9360382536433</v>
      </c>
      <c r="T12" s="23">
        <f t="shared" si="15"/>
        <v>2460.9360382536433</v>
      </c>
      <c r="U12" s="23">
        <f t="shared" si="15"/>
        <v>2460.9360382536433</v>
      </c>
      <c r="V12" s="23">
        <f t="shared" si="15"/>
        <v>2460.9360382536433</v>
      </c>
      <c r="W12" s="23">
        <f t="shared" si="15"/>
        <v>2460.9360382536433</v>
      </c>
      <c r="X12" s="23">
        <f t="shared" si="15"/>
        <v>2460.9360382536433</v>
      </c>
      <c r="Y12" s="23">
        <f t="shared" si="15"/>
        <v>2460.9360382536433</v>
      </c>
      <c r="Z12" s="23">
        <f t="shared" si="15"/>
        <v>2460.9360382536433</v>
      </c>
      <c r="AA12" s="23">
        <f t="shared" si="15"/>
        <v>2460.9360382536433</v>
      </c>
      <c r="AB12" s="23">
        <f t="shared" si="15"/>
        <v>2460.9360382536433</v>
      </c>
      <c r="AC12" s="23">
        <f t="shared" si="15"/>
        <v>2460.9360382536433</v>
      </c>
      <c r="AD12" s="23">
        <f t="shared" si="15"/>
        <v>2460.9360382536433</v>
      </c>
    </row>
    <row r="13" spans="3:30" ht="18" thickBot="1" x14ac:dyDescent="0.35">
      <c r="D13" s="15" t="s">
        <v>14</v>
      </c>
      <c r="E13" s="24">
        <f t="shared" ref="E13:AC13" si="16">SUM(E9:E12)</f>
        <v>6183</v>
      </c>
      <c r="F13" s="24">
        <f t="shared" si="16"/>
        <v>6306.66</v>
      </c>
      <c r="G13" s="24">
        <f t="shared" si="16"/>
        <v>6432.7932000000001</v>
      </c>
      <c r="H13" s="24">
        <f t="shared" si="16"/>
        <v>6561.4490639999995</v>
      </c>
      <c r="I13" s="24">
        <f t="shared" si="16"/>
        <v>6692.6780452800003</v>
      </c>
      <c r="J13" s="24">
        <f t="shared" si="16"/>
        <v>6826.531606185601</v>
      </c>
      <c r="K13" s="24">
        <f t="shared" si="16"/>
        <v>6963.0622383093132</v>
      </c>
      <c r="L13" s="24">
        <f t="shared" si="16"/>
        <v>7102.3234830754991</v>
      </c>
      <c r="M13" s="24">
        <f t="shared" si="16"/>
        <v>7244.36995273701</v>
      </c>
      <c r="N13" s="24">
        <f t="shared" si="16"/>
        <v>7389.2573517917499</v>
      </c>
      <c r="O13" s="24">
        <f t="shared" si="16"/>
        <v>7537.0424988275845</v>
      </c>
      <c r="P13" s="24">
        <f t="shared" si="16"/>
        <v>10148.719387057781</v>
      </c>
      <c r="Q13" s="24">
        <f t="shared" si="16"/>
        <v>10302.475054033863</v>
      </c>
      <c r="R13" s="24">
        <f t="shared" si="16"/>
        <v>10459.305834349467</v>
      </c>
      <c r="S13" s="24">
        <f t="shared" si="16"/>
        <v>10619.273230271385</v>
      </c>
      <c r="T13" s="24">
        <f t="shared" si="16"/>
        <v>10782.43997411174</v>
      </c>
      <c r="U13" s="24">
        <f t="shared" si="16"/>
        <v>10948.870052828903</v>
      </c>
      <c r="V13" s="24">
        <f t="shared" si="16"/>
        <v>11118.628733120408</v>
      </c>
      <c r="W13" s="24">
        <f t="shared" si="16"/>
        <v>11291.782587017744</v>
      </c>
      <c r="X13" s="24">
        <f t="shared" si="16"/>
        <v>11468.399517993026</v>
      </c>
      <c r="Y13" s="24">
        <f t="shared" si="16"/>
        <v>11648.548787587813</v>
      </c>
      <c r="Z13" s="24">
        <f t="shared" si="16"/>
        <v>11832.301042574496</v>
      </c>
      <c r="AA13" s="24">
        <f t="shared" si="16"/>
        <v>12019.728342660914</v>
      </c>
      <c r="AB13" s="24">
        <f t="shared" si="16"/>
        <v>12210.904188749058</v>
      </c>
      <c r="AC13" s="24">
        <f t="shared" si="16"/>
        <v>12405.903551758967</v>
      </c>
      <c r="AD13" s="24">
        <f t="shared" ref="AD13" si="17">SUM(AD9:AD12)</f>
        <v>12604.802902029074</v>
      </c>
    </row>
    <row r="14" spans="3:30" ht="16.5" thickTop="1" thickBot="1" x14ac:dyDescent="0.3">
      <c r="D14" s="17"/>
      <c r="J14" s="25"/>
      <c r="K14" s="25"/>
      <c r="P14" s="25"/>
      <c r="Q14" s="25"/>
    </row>
    <row r="15" spans="3:30" ht="18" thickTop="1" x14ac:dyDescent="0.3">
      <c r="D15" s="26" t="s">
        <v>15</v>
      </c>
      <c r="E15" s="27">
        <f>(E9+E12)*12+(E10+E11)*12*0.85</f>
        <v>68796</v>
      </c>
      <c r="F15" s="27">
        <f t="shared" ref="F15:AC15" si="18">(F9+F12)*12+(F10+F11)*12*0.85</f>
        <v>70171.92</v>
      </c>
      <c r="G15" s="27">
        <f t="shared" si="18"/>
        <v>71575.358399999997</v>
      </c>
      <c r="H15" s="27">
        <f t="shared" si="18"/>
        <v>73006.865567999994</v>
      </c>
      <c r="I15" s="27">
        <f t="shared" si="18"/>
        <v>74467.002879359992</v>
      </c>
      <c r="J15" s="27">
        <f t="shared" si="18"/>
        <v>75956.342936947214</v>
      </c>
      <c r="K15" s="27">
        <f t="shared" si="18"/>
        <v>77475.469795686149</v>
      </c>
      <c r="L15" s="27">
        <f t="shared" si="18"/>
        <v>79024.979191599879</v>
      </c>
      <c r="M15" s="27">
        <f t="shared" si="18"/>
        <v>80605.478775431882</v>
      </c>
      <c r="N15" s="27">
        <f t="shared" si="18"/>
        <v>82217.58835094051</v>
      </c>
      <c r="O15" s="27">
        <f t="shared" si="18"/>
        <v>83861.940117959341</v>
      </c>
      <c r="P15" s="27">
        <f t="shared" si="18"/>
        <v>115070.41137936225</v>
      </c>
      <c r="Q15" s="27">
        <f t="shared" si="18"/>
        <v>116781.1949577686</v>
      </c>
      <c r="R15" s="27">
        <f t="shared" si="18"/>
        <v>118526.19420774312</v>
      </c>
      <c r="S15" s="27">
        <f t="shared" si="18"/>
        <v>120306.09344271712</v>
      </c>
      <c r="T15" s="27">
        <f t="shared" si="18"/>
        <v>122121.59066239058</v>
      </c>
      <c r="U15" s="27">
        <f t="shared" si="18"/>
        <v>123973.39782645751</v>
      </c>
      <c r="V15" s="27">
        <f t="shared" si="18"/>
        <v>125862.2411338058</v>
      </c>
      <c r="W15" s="27">
        <f t="shared" si="18"/>
        <v>127788.86130730105</v>
      </c>
      <c r="X15" s="27">
        <f t="shared" si="18"/>
        <v>129754.01388426618</v>
      </c>
      <c r="Y15" s="27">
        <f t="shared" si="18"/>
        <v>131758.46951277065</v>
      </c>
      <c r="Z15" s="27">
        <f t="shared" si="18"/>
        <v>133803.01425384518</v>
      </c>
      <c r="AA15" s="27">
        <f t="shared" si="18"/>
        <v>135888.4498897412</v>
      </c>
      <c r="AB15" s="27">
        <f t="shared" si="18"/>
        <v>138015.59423835514</v>
      </c>
      <c r="AC15" s="27">
        <f t="shared" si="18"/>
        <v>140185.2814739414</v>
      </c>
      <c r="AD15" s="27">
        <f t="shared" ref="AD15" si="19">(AD9+AD12)*12+(AD10+AD11)*12*0.85</f>
        <v>142398.36245423934</v>
      </c>
    </row>
    <row r="16" spans="3:30" ht="17.25" x14ac:dyDescent="0.3">
      <c r="D16" s="28" t="s">
        <v>16</v>
      </c>
      <c r="E16" s="29">
        <v>32200</v>
      </c>
      <c r="F16" s="29">
        <f>E16</f>
        <v>32200</v>
      </c>
      <c r="G16" s="29">
        <f t="shared" ref="G16:AC16" si="20">F16</f>
        <v>32200</v>
      </c>
      <c r="H16" s="29">
        <f t="shared" si="20"/>
        <v>32200</v>
      </c>
      <c r="I16" s="29">
        <f t="shared" si="20"/>
        <v>32200</v>
      </c>
      <c r="J16" s="29">
        <f t="shared" si="20"/>
        <v>32200</v>
      </c>
      <c r="K16" s="29">
        <f t="shared" si="20"/>
        <v>32200</v>
      </c>
      <c r="L16" s="29">
        <f t="shared" si="20"/>
        <v>32200</v>
      </c>
      <c r="M16" s="29">
        <f t="shared" si="20"/>
        <v>32200</v>
      </c>
      <c r="N16" s="29">
        <f t="shared" si="20"/>
        <v>32200</v>
      </c>
      <c r="O16" s="29">
        <f t="shared" si="20"/>
        <v>32200</v>
      </c>
      <c r="P16" s="29">
        <f t="shared" si="20"/>
        <v>32200</v>
      </c>
      <c r="Q16" s="29">
        <f t="shared" si="20"/>
        <v>32200</v>
      </c>
      <c r="R16" s="29">
        <f t="shared" si="20"/>
        <v>32200</v>
      </c>
      <c r="S16" s="29">
        <f t="shared" si="20"/>
        <v>32200</v>
      </c>
      <c r="T16" s="29">
        <f t="shared" si="20"/>
        <v>32200</v>
      </c>
      <c r="U16" s="29">
        <f t="shared" si="20"/>
        <v>32200</v>
      </c>
      <c r="V16" s="29">
        <f t="shared" si="20"/>
        <v>32200</v>
      </c>
      <c r="W16" s="29">
        <f t="shared" si="20"/>
        <v>32200</v>
      </c>
      <c r="X16" s="29">
        <f t="shared" si="20"/>
        <v>32200</v>
      </c>
      <c r="Y16" s="29">
        <f t="shared" si="20"/>
        <v>32200</v>
      </c>
      <c r="Z16" s="29">
        <f t="shared" si="20"/>
        <v>32200</v>
      </c>
      <c r="AA16" s="29">
        <f t="shared" si="20"/>
        <v>32200</v>
      </c>
      <c r="AB16" s="29">
        <f t="shared" si="20"/>
        <v>32200</v>
      </c>
      <c r="AC16" s="29">
        <f t="shared" si="20"/>
        <v>32200</v>
      </c>
      <c r="AD16" s="29">
        <f t="shared" ref="AD16" si="21">AC16</f>
        <v>32200</v>
      </c>
    </row>
    <row r="17" spans="2:31" ht="17.25" x14ac:dyDescent="0.3">
      <c r="D17" s="67" t="s">
        <v>45</v>
      </c>
      <c r="E17" s="68">
        <v>6000</v>
      </c>
      <c r="F17" s="68">
        <v>6000</v>
      </c>
      <c r="G17" s="68">
        <v>6000</v>
      </c>
      <c r="H17" s="68">
        <v>12000</v>
      </c>
      <c r="I17" s="68">
        <v>12000</v>
      </c>
      <c r="J17" s="68">
        <v>12000</v>
      </c>
      <c r="K17" s="68">
        <v>12000</v>
      </c>
      <c r="L17" s="68">
        <v>12000</v>
      </c>
      <c r="M17" s="68">
        <v>12000</v>
      </c>
      <c r="N17" s="68">
        <v>12000</v>
      </c>
      <c r="O17" s="68">
        <v>12000</v>
      </c>
      <c r="P17" s="68">
        <v>12000</v>
      </c>
      <c r="Q17" s="68">
        <v>12000</v>
      </c>
      <c r="R17" s="68">
        <v>12000</v>
      </c>
      <c r="S17" s="68">
        <v>12000</v>
      </c>
      <c r="T17" s="68">
        <v>12000</v>
      </c>
      <c r="U17" s="68">
        <v>12000</v>
      </c>
      <c r="V17" s="68">
        <v>12000</v>
      </c>
      <c r="W17" s="68">
        <v>12000</v>
      </c>
      <c r="X17" s="68">
        <v>12000</v>
      </c>
      <c r="Y17" s="68">
        <v>12000</v>
      </c>
      <c r="Z17" s="68">
        <v>12000</v>
      </c>
      <c r="AA17" s="68">
        <v>12000</v>
      </c>
      <c r="AB17" s="68">
        <v>12000</v>
      </c>
      <c r="AC17" s="68">
        <v>12000</v>
      </c>
      <c r="AD17" s="68">
        <v>12000</v>
      </c>
    </row>
    <row r="18" spans="2:31" ht="18" thickBot="1" x14ac:dyDescent="0.35">
      <c r="D18" s="30" t="s">
        <v>17</v>
      </c>
      <c r="E18" s="31">
        <f>E15-E16-E17</f>
        <v>30596</v>
      </c>
      <c r="F18" s="31">
        <f t="shared" ref="F18:AD18" si="22">F15-F16-F17</f>
        <v>31971.919999999998</v>
      </c>
      <c r="G18" s="31">
        <f t="shared" si="22"/>
        <v>33375.358399999997</v>
      </c>
      <c r="H18" s="31">
        <f t="shared" si="22"/>
        <v>28806.865567999994</v>
      </c>
      <c r="I18" s="31">
        <f t="shared" si="22"/>
        <v>30267.002879359992</v>
      </c>
      <c r="J18" s="31">
        <f t="shared" si="22"/>
        <v>31756.342936947214</v>
      </c>
      <c r="K18" s="31">
        <f t="shared" si="22"/>
        <v>33275.469795686149</v>
      </c>
      <c r="L18" s="31">
        <f t="shared" si="22"/>
        <v>34824.979191599879</v>
      </c>
      <c r="M18" s="31">
        <f t="shared" si="22"/>
        <v>36405.478775431882</v>
      </c>
      <c r="N18" s="31">
        <f t="shared" si="22"/>
        <v>38017.58835094051</v>
      </c>
      <c r="O18" s="31">
        <f t="shared" si="22"/>
        <v>39661.940117959341</v>
      </c>
      <c r="P18" s="31">
        <f t="shared" si="22"/>
        <v>70870.411379362253</v>
      </c>
      <c r="Q18" s="31">
        <f t="shared" si="22"/>
        <v>72581.194957768603</v>
      </c>
      <c r="R18" s="31">
        <f t="shared" si="22"/>
        <v>74326.194207743116</v>
      </c>
      <c r="S18" s="31">
        <f t="shared" si="22"/>
        <v>76106.093442717116</v>
      </c>
      <c r="T18" s="31">
        <f t="shared" si="22"/>
        <v>77921.590662390576</v>
      </c>
      <c r="U18" s="31">
        <f t="shared" si="22"/>
        <v>79773.397826457513</v>
      </c>
      <c r="V18" s="31">
        <f t="shared" si="22"/>
        <v>81662.241133805801</v>
      </c>
      <c r="W18" s="31">
        <f t="shared" si="22"/>
        <v>83588.861307301049</v>
      </c>
      <c r="X18" s="31">
        <f t="shared" si="22"/>
        <v>85554.013884266184</v>
      </c>
      <c r="Y18" s="31">
        <f t="shared" si="22"/>
        <v>87558.469512770651</v>
      </c>
      <c r="Z18" s="31">
        <f t="shared" si="22"/>
        <v>89603.014253845176</v>
      </c>
      <c r="AA18" s="31">
        <f t="shared" si="22"/>
        <v>91688.449889741198</v>
      </c>
      <c r="AB18" s="31">
        <f t="shared" si="22"/>
        <v>93815.594238355145</v>
      </c>
      <c r="AC18" s="31">
        <f t="shared" si="22"/>
        <v>95985.281473941403</v>
      </c>
      <c r="AD18" s="31">
        <f t="shared" si="22"/>
        <v>98198.362454239337</v>
      </c>
    </row>
    <row r="19" spans="2:31" ht="16.5" thickTop="1" thickBot="1" x14ac:dyDescent="0.3">
      <c r="B19" s="32" t="s">
        <v>18</v>
      </c>
      <c r="C19" s="32"/>
      <c r="D19" s="17"/>
      <c r="J19" s="18"/>
      <c r="K19" s="18"/>
      <c r="L19" s="18"/>
      <c r="M19" s="18"/>
      <c r="N19" s="18"/>
      <c r="O19" s="18"/>
      <c r="P19" s="18"/>
      <c r="Q19" s="18"/>
      <c r="R19" s="18"/>
    </row>
    <row r="20" spans="2:31" ht="15.75" thickTop="1" x14ac:dyDescent="0.25">
      <c r="B20" s="2">
        <v>0</v>
      </c>
      <c r="C20" s="2">
        <v>24800</v>
      </c>
      <c r="D20" s="33">
        <v>0.1</v>
      </c>
      <c r="E20" s="34">
        <f>(C20-B20)*D20</f>
        <v>2480</v>
      </c>
      <c r="F20" s="34">
        <f>E20</f>
        <v>2480</v>
      </c>
      <c r="G20" s="34">
        <f>F20</f>
        <v>2480</v>
      </c>
      <c r="H20" s="34">
        <f t="shared" ref="H20:W20" si="23">G20</f>
        <v>2480</v>
      </c>
      <c r="I20" s="34">
        <f t="shared" si="23"/>
        <v>2480</v>
      </c>
      <c r="J20" s="34">
        <f t="shared" si="23"/>
        <v>2480</v>
      </c>
      <c r="K20" s="34">
        <f t="shared" si="23"/>
        <v>2480</v>
      </c>
      <c r="L20" s="34">
        <f t="shared" si="23"/>
        <v>2480</v>
      </c>
      <c r="M20" s="34">
        <f t="shared" si="23"/>
        <v>2480</v>
      </c>
      <c r="N20" s="34">
        <f t="shared" si="23"/>
        <v>2480</v>
      </c>
      <c r="O20" s="34">
        <f t="shared" si="23"/>
        <v>2480</v>
      </c>
      <c r="P20" s="34">
        <f t="shared" si="23"/>
        <v>2480</v>
      </c>
      <c r="Q20" s="34">
        <f t="shared" si="23"/>
        <v>2480</v>
      </c>
      <c r="R20" s="34">
        <f t="shared" si="23"/>
        <v>2480</v>
      </c>
      <c r="S20" s="34">
        <f t="shared" si="23"/>
        <v>2480</v>
      </c>
      <c r="T20" s="34">
        <f t="shared" si="23"/>
        <v>2480</v>
      </c>
      <c r="U20" s="34">
        <f t="shared" si="23"/>
        <v>2480</v>
      </c>
      <c r="V20" s="34">
        <f t="shared" si="23"/>
        <v>2480</v>
      </c>
      <c r="W20" s="34">
        <f t="shared" si="23"/>
        <v>2480</v>
      </c>
      <c r="X20" s="34">
        <f t="shared" ref="X20:AC20" si="24">W20</f>
        <v>2480</v>
      </c>
      <c r="Y20" s="34">
        <f t="shared" si="24"/>
        <v>2480</v>
      </c>
      <c r="Z20" s="34">
        <f t="shared" si="24"/>
        <v>2480</v>
      </c>
      <c r="AA20" s="34">
        <f t="shared" si="24"/>
        <v>2480</v>
      </c>
      <c r="AB20" s="34">
        <f t="shared" si="24"/>
        <v>2480</v>
      </c>
      <c r="AC20" s="34">
        <f t="shared" si="24"/>
        <v>2480</v>
      </c>
      <c r="AD20" s="34">
        <f t="shared" ref="AD20" si="25">AC20</f>
        <v>2480</v>
      </c>
      <c r="AE20" s="35">
        <f>(C20-B20)*D20</f>
        <v>2480</v>
      </c>
    </row>
    <row r="21" spans="2:31" x14ac:dyDescent="0.25">
      <c r="B21" s="2">
        <v>24800</v>
      </c>
      <c r="C21" s="2">
        <v>100800</v>
      </c>
      <c r="D21" s="36">
        <v>0.12</v>
      </c>
      <c r="E21" s="37">
        <f>(E18-$B$21)*$D$21</f>
        <v>695.52</v>
      </c>
      <c r="F21" s="37">
        <f>(F18-$B$21)*$D$21</f>
        <v>860.63039999999978</v>
      </c>
      <c r="G21" s="37">
        <f>(G18-$B$21)*$D$21</f>
        <v>1029.0430079999996</v>
      </c>
      <c r="H21" s="37">
        <f>(H18-$B$21)*$D$21</f>
        <v>480.82386815999922</v>
      </c>
      <c r="I21" s="37">
        <f>(I18-$B$21)*$D$21</f>
        <v>656.04034552319899</v>
      </c>
      <c r="J21" s="37">
        <f t="shared" ref="J21:AD21" si="26">(J18-$B$21)*$D$21</f>
        <v>834.76115243366564</v>
      </c>
      <c r="K21" s="37">
        <f t="shared" si="26"/>
        <v>1017.0563754823379</v>
      </c>
      <c r="L21" s="37">
        <f t="shared" si="26"/>
        <v>1202.9975029919856</v>
      </c>
      <c r="M21" s="37">
        <f t="shared" si="26"/>
        <v>1392.6574530518258</v>
      </c>
      <c r="N21" s="37">
        <f t="shared" si="26"/>
        <v>1586.1106021128612</v>
      </c>
      <c r="O21" s="37">
        <f t="shared" si="26"/>
        <v>1783.4328141551207</v>
      </c>
      <c r="P21" s="37">
        <f t="shared" si="26"/>
        <v>5528.4493655234701</v>
      </c>
      <c r="Q21" s="37">
        <f t="shared" si="26"/>
        <v>5733.7433949322321</v>
      </c>
      <c r="R21" s="37">
        <f t="shared" si="26"/>
        <v>5943.1433049291736</v>
      </c>
      <c r="S21" s="37">
        <f t="shared" si="26"/>
        <v>6156.7312131260533</v>
      </c>
      <c r="T21" s="37">
        <f t="shared" si="26"/>
        <v>6374.5908794868692</v>
      </c>
      <c r="U21" s="37">
        <f t="shared" si="26"/>
        <v>6596.8077391749011</v>
      </c>
      <c r="V21" s="37">
        <f t="shared" si="26"/>
        <v>6823.4689360566963</v>
      </c>
      <c r="W21" s="37">
        <f t="shared" si="26"/>
        <v>7054.6633568761254</v>
      </c>
      <c r="X21" s="37">
        <f t="shared" si="26"/>
        <v>7290.4816661119421</v>
      </c>
      <c r="Y21" s="37">
        <f t="shared" si="26"/>
        <v>7531.0163415324778</v>
      </c>
      <c r="Z21" s="37">
        <f t="shared" si="26"/>
        <v>7776.3617104614204</v>
      </c>
      <c r="AA21" s="37">
        <f t="shared" si="26"/>
        <v>8026.6139867689435</v>
      </c>
      <c r="AB21" s="37">
        <f t="shared" si="26"/>
        <v>8281.8713086026164</v>
      </c>
      <c r="AC21" s="37">
        <f t="shared" si="26"/>
        <v>8542.2337768729685</v>
      </c>
      <c r="AD21" s="37">
        <f t="shared" si="26"/>
        <v>8807.8034945087202</v>
      </c>
      <c r="AE21" s="35">
        <f>(C21-B21)*D21</f>
        <v>9120</v>
      </c>
    </row>
    <row r="22" spans="2:31" x14ac:dyDescent="0.25">
      <c r="B22" s="2">
        <v>100800</v>
      </c>
      <c r="C22" s="2">
        <v>211400</v>
      </c>
      <c r="D22" s="36">
        <v>0.22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5">
        <f>(C22-B22)*D22</f>
        <v>24332</v>
      </c>
    </row>
    <row r="23" spans="2:31" x14ac:dyDescent="0.25">
      <c r="B23" s="2">
        <v>211400</v>
      </c>
      <c r="C23" s="2">
        <v>403550</v>
      </c>
      <c r="D23" s="36">
        <v>0.24</v>
      </c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5">
        <f>(C23-B23)*D23</f>
        <v>46116</v>
      </c>
    </row>
    <row r="24" spans="2:31" x14ac:dyDescent="0.25">
      <c r="B24" s="2">
        <v>403550</v>
      </c>
      <c r="C24" s="2">
        <v>512450</v>
      </c>
      <c r="D24" s="36">
        <v>0.32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5">
        <f>(C24-B24)*D24</f>
        <v>34848</v>
      </c>
    </row>
    <row r="25" spans="2:31" x14ac:dyDescent="0.25">
      <c r="B25" s="2">
        <v>512450</v>
      </c>
      <c r="C25" s="2">
        <v>768700</v>
      </c>
      <c r="D25" s="36">
        <v>0.35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41">
        <f>(AD7-B25)*D25</f>
        <v>27361.127213306019</v>
      </c>
    </row>
    <row r="26" spans="2:31" x14ac:dyDescent="0.25">
      <c r="B26" s="2">
        <v>768700</v>
      </c>
      <c r="D26" s="36">
        <v>0.37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8"/>
    </row>
    <row r="27" spans="2:31" ht="15.75" thickBot="1" x14ac:dyDescent="0.3">
      <c r="D27" s="39" t="s">
        <v>19</v>
      </c>
      <c r="E27" s="40">
        <f>SUM(E20:E26)</f>
        <v>3175.52</v>
      </c>
      <c r="F27" s="40">
        <f t="shared" ref="F27:AC27" si="27">SUM(F20:F26)</f>
        <v>3340.6304</v>
      </c>
      <c r="G27" s="40">
        <f t="shared" si="27"/>
        <v>3509.0430079999996</v>
      </c>
      <c r="H27" s="40">
        <f t="shared" si="27"/>
        <v>2960.8238681599992</v>
      </c>
      <c r="I27" s="40">
        <f t="shared" si="27"/>
        <v>3136.040345523199</v>
      </c>
      <c r="J27" s="40">
        <f t="shared" si="27"/>
        <v>3314.7611524336658</v>
      </c>
      <c r="K27" s="40">
        <f t="shared" si="27"/>
        <v>3497.0563754823379</v>
      </c>
      <c r="L27" s="40">
        <f t="shared" si="27"/>
        <v>3682.9975029919856</v>
      </c>
      <c r="M27" s="40">
        <f t="shared" si="27"/>
        <v>3872.6574530518255</v>
      </c>
      <c r="N27" s="40">
        <f t="shared" si="27"/>
        <v>4066.1106021128612</v>
      </c>
      <c r="O27" s="40">
        <f t="shared" si="27"/>
        <v>4263.4328141551205</v>
      </c>
      <c r="P27" s="40">
        <f t="shared" si="27"/>
        <v>8008.4493655234701</v>
      </c>
      <c r="Q27" s="40">
        <f t="shared" si="27"/>
        <v>8213.7433949322331</v>
      </c>
      <c r="R27" s="40">
        <f t="shared" si="27"/>
        <v>8423.1433049291736</v>
      </c>
      <c r="S27" s="40">
        <f t="shared" si="27"/>
        <v>8636.7312131260533</v>
      </c>
      <c r="T27" s="40">
        <f t="shared" si="27"/>
        <v>8854.5908794868701</v>
      </c>
      <c r="U27" s="40">
        <f t="shared" si="27"/>
        <v>9076.8077391749011</v>
      </c>
      <c r="V27" s="40">
        <f t="shared" si="27"/>
        <v>9303.4689360566954</v>
      </c>
      <c r="W27" s="40">
        <f t="shared" si="27"/>
        <v>9534.6633568761245</v>
      </c>
      <c r="X27" s="40">
        <f t="shared" si="27"/>
        <v>9770.4816661119421</v>
      </c>
      <c r="Y27" s="40">
        <f t="shared" si="27"/>
        <v>10011.016341532479</v>
      </c>
      <c r="Z27" s="40">
        <f t="shared" si="27"/>
        <v>10256.36171046142</v>
      </c>
      <c r="AA27" s="40">
        <f t="shared" si="27"/>
        <v>10506.613986768944</v>
      </c>
      <c r="AB27" s="40">
        <f t="shared" si="27"/>
        <v>10761.871308602616</v>
      </c>
      <c r="AC27" s="40">
        <f t="shared" si="27"/>
        <v>11022.233776872969</v>
      </c>
      <c r="AD27" s="40">
        <f t="shared" ref="AD27" si="28">SUM(AD20:AD26)</f>
        <v>11287.80349450872</v>
      </c>
      <c r="AE27" s="41">
        <f>SUM(AE20:AE26)</f>
        <v>144257.12721330603</v>
      </c>
    </row>
    <row r="28" spans="2:31" ht="16.5" thickTop="1" thickBot="1" x14ac:dyDescent="0.3">
      <c r="D28" s="42" t="s">
        <v>20</v>
      </c>
      <c r="E28" s="43">
        <f>E27/12</f>
        <v>264.62666666666667</v>
      </c>
      <c r="F28" s="43">
        <f t="shared" ref="F28:AC28" si="29">F27/12</f>
        <v>278.38586666666669</v>
      </c>
      <c r="G28" s="43">
        <f t="shared" si="29"/>
        <v>292.42025066666662</v>
      </c>
      <c r="H28" s="43">
        <f t="shared" si="29"/>
        <v>246.73532234666661</v>
      </c>
      <c r="I28" s="43">
        <f t="shared" si="29"/>
        <v>261.33669546026658</v>
      </c>
      <c r="J28" s="43">
        <f t="shared" si="29"/>
        <v>276.23009603613883</v>
      </c>
      <c r="K28" s="43">
        <f t="shared" si="29"/>
        <v>291.42136462352818</v>
      </c>
      <c r="L28" s="43">
        <f t="shared" si="29"/>
        <v>306.91645858266548</v>
      </c>
      <c r="M28" s="43">
        <f t="shared" si="29"/>
        <v>322.72145442098548</v>
      </c>
      <c r="N28" s="43">
        <f t="shared" si="29"/>
        <v>338.84255017607177</v>
      </c>
      <c r="O28" s="43">
        <f t="shared" si="29"/>
        <v>355.28606784626004</v>
      </c>
      <c r="P28" s="43">
        <f t="shared" si="29"/>
        <v>667.37078046028921</v>
      </c>
      <c r="Q28" s="43">
        <f t="shared" si="29"/>
        <v>684.47861624435279</v>
      </c>
      <c r="R28" s="43">
        <f t="shared" si="29"/>
        <v>701.9286087440978</v>
      </c>
      <c r="S28" s="43">
        <f t="shared" si="29"/>
        <v>719.72760109383773</v>
      </c>
      <c r="T28" s="43">
        <f t="shared" si="29"/>
        <v>737.88257329057251</v>
      </c>
      <c r="U28" s="43">
        <f t="shared" si="29"/>
        <v>756.4006449312418</v>
      </c>
      <c r="V28" s="43">
        <f t="shared" si="29"/>
        <v>775.28907800472462</v>
      </c>
      <c r="W28" s="43">
        <f t="shared" si="29"/>
        <v>794.55527973967708</v>
      </c>
      <c r="X28" s="43">
        <f t="shared" si="29"/>
        <v>814.20680550932855</v>
      </c>
      <c r="Y28" s="43">
        <f t="shared" si="29"/>
        <v>834.25136179437322</v>
      </c>
      <c r="Z28" s="43">
        <f t="shared" si="29"/>
        <v>854.69680920511837</v>
      </c>
      <c r="AA28" s="43">
        <f t="shared" si="29"/>
        <v>875.55116556407859</v>
      </c>
      <c r="AB28" s="43">
        <f t="shared" si="29"/>
        <v>896.82260905021803</v>
      </c>
      <c r="AC28" s="43">
        <f t="shared" si="29"/>
        <v>918.51948140608067</v>
      </c>
      <c r="AD28" s="43">
        <f t="shared" ref="AD28" si="30">AD27/12</f>
        <v>940.65029120906001</v>
      </c>
    </row>
    <row r="29" spans="2:31" ht="15.75" thickTop="1" x14ac:dyDescent="0.25">
      <c r="D29" s="17" t="s">
        <v>21</v>
      </c>
      <c r="E29" s="44">
        <f t="shared" ref="E29:AC29" si="31">E13-E28</f>
        <v>5918.373333333333</v>
      </c>
      <c r="F29" s="44">
        <f t="shared" si="31"/>
        <v>6028.2741333333333</v>
      </c>
      <c r="G29" s="44">
        <f t="shared" si="31"/>
        <v>6140.3729493333331</v>
      </c>
      <c r="H29" s="44">
        <f t="shared" si="31"/>
        <v>6314.7137416533333</v>
      </c>
      <c r="I29" s="44">
        <f t="shared" si="31"/>
        <v>6431.3413498197333</v>
      </c>
      <c r="J29" s="44">
        <f t="shared" si="31"/>
        <v>6550.301510149462</v>
      </c>
      <c r="K29" s="44">
        <f t="shared" si="31"/>
        <v>6671.6408736857848</v>
      </c>
      <c r="L29" s="44">
        <f t="shared" si="31"/>
        <v>6795.4070244928334</v>
      </c>
      <c r="M29" s="44">
        <f t="shared" si="31"/>
        <v>6921.6484983160244</v>
      </c>
      <c r="N29" s="44">
        <f t="shared" si="31"/>
        <v>7050.4148016156778</v>
      </c>
      <c r="O29" s="44">
        <f t="shared" si="31"/>
        <v>7181.7564309813242</v>
      </c>
      <c r="P29" s="44">
        <f t="shared" si="31"/>
        <v>9481.3486065974921</v>
      </c>
      <c r="Q29" s="44">
        <f t="shared" si="31"/>
        <v>9617.9964377895103</v>
      </c>
      <c r="R29" s="44">
        <f t="shared" si="31"/>
        <v>9757.3772256053689</v>
      </c>
      <c r="S29" s="44">
        <f t="shared" si="31"/>
        <v>9899.5456291775463</v>
      </c>
      <c r="T29" s="44">
        <f t="shared" si="31"/>
        <v>10044.557400821166</v>
      </c>
      <c r="U29" s="44">
        <f t="shared" si="31"/>
        <v>10192.469407897661</v>
      </c>
      <c r="V29" s="44">
        <f t="shared" si="31"/>
        <v>10343.339655115684</v>
      </c>
      <c r="W29" s="44">
        <f t="shared" si="31"/>
        <v>10497.227307278066</v>
      </c>
      <c r="X29" s="44">
        <f t="shared" si="31"/>
        <v>10654.192712483698</v>
      </c>
      <c r="Y29" s="44">
        <f t="shared" si="31"/>
        <v>10814.29742579344</v>
      </c>
      <c r="Z29" s="44">
        <f t="shared" si="31"/>
        <v>10977.604233369377</v>
      </c>
      <c r="AA29" s="44">
        <f t="shared" si="31"/>
        <v>11144.177177096835</v>
      </c>
      <c r="AB29" s="44">
        <f t="shared" si="31"/>
        <v>11314.081579698841</v>
      </c>
      <c r="AC29" s="44">
        <f t="shared" si="31"/>
        <v>11487.384070352886</v>
      </c>
      <c r="AD29" s="44">
        <f t="shared" ref="AD29" si="32">AD13-AD28</f>
        <v>11664.152610820014</v>
      </c>
    </row>
    <row r="30" spans="2:31" ht="15.75" thickBot="1" x14ac:dyDescent="0.3">
      <c r="D30" s="45" t="s">
        <v>22</v>
      </c>
      <c r="E30" s="46">
        <f>E29*12</f>
        <v>71020.479999999996</v>
      </c>
      <c r="F30" s="46">
        <f t="shared" ref="F30:AC30" si="33">F29*12</f>
        <v>72339.289600000004</v>
      </c>
      <c r="G30" s="46">
        <f t="shared" si="33"/>
        <v>73684.475391999993</v>
      </c>
      <c r="H30" s="46">
        <f t="shared" si="33"/>
        <v>75776.564899839999</v>
      </c>
      <c r="I30" s="46">
        <f t="shared" si="33"/>
        <v>77176.0961978368</v>
      </c>
      <c r="J30" s="47">
        <f t="shared" si="33"/>
        <v>78603.618121793552</v>
      </c>
      <c r="K30" s="46">
        <f t="shared" si="33"/>
        <v>80059.690484229417</v>
      </c>
      <c r="L30" s="46">
        <f t="shared" si="33"/>
        <v>81544.884293914001</v>
      </c>
      <c r="M30" s="46">
        <f t="shared" si="33"/>
        <v>83059.781979792286</v>
      </c>
      <c r="N30" s="46">
        <f t="shared" si="33"/>
        <v>84604.977619388141</v>
      </c>
      <c r="O30" s="46">
        <f t="shared" si="33"/>
        <v>86181.077171775891</v>
      </c>
      <c r="P30" s="48">
        <f t="shared" si="33"/>
        <v>113776.1832791699</v>
      </c>
      <c r="Q30" s="46">
        <f t="shared" si="33"/>
        <v>115415.95725347413</v>
      </c>
      <c r="R30" s="46">
        <f t="shared" si="33"/>
        <v>117088.52670726442</v>
      </c>
      <c r="S30" s="46">
        <f t="shared" si="33"/>
        <v>118794.54755013055</v>
      </c>
      <c r="T30" s="46">
        <f t="shared" si="33"/>
        <v>120534.68880985399</v>
      </c>
      <c r="U30" s="46">
        <f t="shared" si="33"/>
        <v>122309.63289477193</v>
      </c>
      <c r="V30" s="46">
        <f t="shared" si="33"/>
        <v>124120.07586138821</v>
      </c>
      <c r="W30" s="46">
        <f t="shared" si="33"/>
        <v>125966.7276873368</v>
      </c>
      <c r="X30" s="46">
        <f t="shared" si="33"/>
        <v>127850.31254980438</v>
      </c>
      <c r="Y30" s="46">
        <f t="shared" si="33"/>
        <v>129771.56910952128</v>
      </c>
      <c r="Z30" s="46">
        <f t="shared" si="33"/>
        <v>131731.25080043252</v>
      </c>
      <c r="AA30" s="46">
        <f t="shared" si="33"/>
        <v>133730.12612516203</v>
      </c>
      <c r="AB30" s="46">
        <f t="shared" si="33"/>
        <v>135768.9789563861</v>
      </c>
      <c r="AC30" s="46">
        <f t="shared" si="33"/>
        <v>137848.60884423464</v>
      </c>
      <c r="AD30" s="46">
        <f t="shared" ref="AD30" si="34">AD29*12</f>
        <v>139969.83132984018</v>
      </c>
      <c r="AE30" s="49">
        <f>SUM(E30:AD30)</f>
        <v>2758727.9535193406</v>
      </c>
    </row>
    <row r="31" spans="2:31" ht="16.5" thickTop="1" thickBot="1" x14ac:dyDescent="0.3">
      <c r="D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spans="2:31" ht="15.75" thickTop="1" x14ac:dyDescent="0.25">
      <c r="D32" s="50" t="s">
        <v>23</v>
      </c>
      <c r="E32" s="51">
        <v>3700</v>
      </c>
      <c r="F32" s="51">
        <f t="shared" ref="F32:AC32" si="35">E32*1.02</f>
        <v>3774</v>
      </c>
      <c r="G32" s="51">
        <f t="shared" si="35"/>
        <v>3849.48</v>
      </c>
      <c r="H32" s="51">
        <f t="shared" si="35"/>
        <v>3926.4695999999999</v>
      </c>
      <c r="I32" s="51">
        <f t="shared" si="35"/>
        <v>4004.9989919999998</v>
      </c>
      <c r="J32" s="51">
        <f t="shared" si="35"/>
        <v>4085.0989718400001</v>
      </c>
      <c r="K32" s="51">
        <f t="shared" si="35"/>
        <v>4166.8009512768003</v>
      </c>
      <c r="L32" s="51">
        <f>Sheet1!B15</f>
        <v>3700</v>
      </c>
      <c r="M32" s="51">
        <f t="shared" si="35"/>
        <v>3774</v>
      </c>
      <c r="N32" s="51">
        <f t="shared" si="35"/>
        <v>3849.48</v>
      </c>
      <c r="O32" s="51">
        <f t="shared" si="35"/>
        <v>3926.4695999999999</v>
      </c>
      <c r="P32" s="51">
        <f t="shared" si="35"/>
        <v>4004.9989919999998</v>
      </c>
      <c r="Q32" s="51">
        <f t="shared" si="35"/>
        <v>4085.0989718400001</v>
      </c>
      <c r="R32" s="51">
        <f t="shared" si="35"/>
        <v>4166.8009512768003</v>
      </c>
      <c r="S32" s="51">
        <f t="shared" si="35"/>
        <v>4250.1369703023365</v>
      </c>
      <c r="T32" s="51">
        <f t="shared" si="35"/>
        <v>4335.1397097083836</v>
      </c>
      <c r="U32" s="51">
        <f t="shared" si="35"/>
        <v>4421.8425039025515</v>
      </c>
      <c r="V32" s="51">
        <f t="shared" si="35"/>
        <v>4510.2793539806025</v>
      </c>
      <c r="W32" s="51">
        <f t="shared" si="35"/>
        <v>4600.4849410602146</v>
      </c>
      <c r="X32" s="51">
        <f t="shared" si="35"/>
        <v>4692.4946398814191</v>
      </c>
      <c r="Y32" s="51">
        <f t="shared" si="35"/>
        <v>4786.3445326790479</v>
      </c>
      <c r="Z32" s="51">
        <f t="shared" si="35"/>
        <v>4882.0714233326289</v>
      </c>
      <c r="AA32" s="51">
        <f t="shared" si="35"/>
        <v>4979.7128517992815</v>
      </c>
      <c r="AB32" s="51">
        <f t="shared" si="35"/>
        <v>5079.3071088352672</v>
      </c>
      <c r="AC32" s="51">
        <f t="shared" si="35"/>
        <v>5180.893251011973</v>
      </c>
      <c r="AD32" s="51">
        <f t="shared" ref="AD32" si="36">AC32*1.02</f>
        <v>5284.5111160322122</v>
      </c>
    </row>
    <row r="33" spans="4:31" x14ac:dyDescent="0.25">
      <c r="D33" s="17"/>
    </row>
    <row r="34" spans="4:31" ht="15.75" thickBot="1" x14ac:dyDescent="0.3">
      <c r="D34" s="45" t="s">
        <v>24</v>
      </c>
      <c r="E34" s="52">
        <f>E29-E32</f>
        <v>2218.373333333333</v>
      </c>
      <c r="F34" s="52">
        <f t="shared" ref="F34:AC34" si="37">F29-F32</f>
        <v>2254.2741333333333</v>
      </c>
      <c r="G34" s="52">
        <f t="shared" si="37"/>
        <v>2290.892949333333</v>
      </c>
      <c r="H34" s="52">
        <f t="shared" si="37"/>
        <v>2388.2441416533334</v>
      </c>
      <c r="I34" s="52">
        <f t="shared" si="37"/>
        <v>2426.3423578197335</v>
      </c>
      <c r="J34" s="52">
        <f t="shared" si="37"/>
        <v>2465.2025383094619</v>
      </c>
      <c r="K34" s="52">
        <f t="shared" si="37"/>
        <v>2504.8399224089844</v>
      </c>
      <c r="L34" s="52">
        <f t="shared" si="37"/>
        <v>3095.4070244928334</v>
      </c>
      <c r="M34" s="52">
        <f t="shared" si="37"/>
        <v>3147.6484983160244</v>
      </c>
      <c r="N34" s="52">
        <f t="shared" si="37"/>
        <v>3200.9348016156778</v>
      </c>
      <c r="O34" s="52">
        <f t="shared" si="37"/>
        <v>3255.2868309813243</v>
      </c>
      <c r="P34" s="52">
        <f t="shared" si="37"/>
        <v>5476.3496145974923</v>
      </c>
      <c r="Q34" s="52">
        <f t="shared" si="37"/>
        <v>5532.8974659495107</v>
      </c>
      <c r="R34" s="52">
        <f t="shared" si="37"/>
        <v>5590.5762743285686</v>
      </c>
      <c r="S34" s="52">
        <f t="shared" si="37"/>
        <v>5649.4086588752098</v>
      </c>
      <c r="T34" s="52">
        <f t="shared" si="37"/>
        <v>5709.4176911127824</v>
      </c>
      <c r="U34" s="52">
        <f t="shared" si="37"/>
        <v>5770.6269039951094</v>
      </c>
      <c r="V34" s="52">
        <f t="shared" si="37"/>
        <v>5833.0603011350813</v>
      </c>
      <c r="W34" s="52">
        <f t="shared" si="37"/>
        <v>5896.7423662178517</v>
      </c>
      <c r="X34" s="52">
        <f t="shared" si="37"/>
        <v>5961.6980726022794</v>
      </c>
      <c r="Y34" s="52">
        <f t="shared" si="37"/>
        <v>6027.9528931143923</v>
      </c>
      <c r="Z34" s="52">
        <f t="shared" si="37"/>
        <v>6095.5328100367478</v>
      </c>
      <c r="AA34" s="52">
        <f t="shared" si="37"/>
        <v>6164.4643252975538</v>
      </c>
      <c r="AB34" s="52">
        <f t="shared" si="37"/>
        <v>6234.7744708635737</v>
      </c>
      <c r="AC34" s="52">
        <f t="shared" si="37"/>
        <v>6306.4908193409128</v>
      </c>
      <c r="AD34" s="52">
        <f t="shared" ref="AD34" si="38">AD29-AD32</f>
        <v>6379.641494787802</v>
      </c>
    </row>
    <row r="35" spans="4:31" ht="15.75" thickTop="1" x14ac:dyDescent="0.25"/>
    <row r="36" spans="4:31" x14ac:dyDescent="0.25">
      <c r="AE36" s="53">
        <f>AD7-AE27</f>
        <v>446367.52196756832</v>
      </c>
    </row>
    <row r="37" spans="4:31" x14ac:dyDescent="0.25">
      <c r="P37" s="35">
        <f>P7-(0.1*MIN(P7,24800)+0.12*MAX(0,MIN(P7,100800)-24800)+0.22*MAX(0,MIN(P7,211400)-100800)+0.24*MAX(0,MIN(P7,403550)-211400)+0.32*MAX(0,MIN(P7,512450)-403550)+0.35*MAX(0,MIN(P7,768700)-512450)+0.37*MAX(0,P7-768700))</f>
        <v>446367.52196756832</v>
      </c>
    </row>
    <row r="38" spans="4:31" ht="30" x14ac:dyDescent="0.25">
      <c r="D38" t="s">
        <v>25</v>
      </c>
      <c r="E38" s="54">
        <v>0.08</v>
      </c>
      <c r="I38" s="63" t="s">
        <v>37</v>
      </c>
      <c r="J38" s="63" t="s">
        <v>42</v>
      </c>
      <c r="K38" s="63" t="s">
        <v>37</v>
      </c>
      <c r="L38" s="63" t="s">
        <v>43</v>
      </c>
      <c r="M38" s="64" t="s">
        <v>38</v>
      </c>
      <c r="N38" s="65" t="s">
        <v>39</v>
      </c>
      <c r="O38" s="65" t="s">
        <v>44</v>
      </c>
      <c r="V38" t="s">
        <v>26</v>
      </c>
      <c r="W38" s="55" t="s">
        <v>27</v>
      </c>
    </row>
    <row r="39" spans="4:31" ht="30" x14ac:dyDescent="0.25">
      <c r="I39" s="59" t="s">
        <v>40</v>
      </c>
      <c r="J39" s="60">
        <f>SUM(E27:O27)</f>
        <v>38819.073521910992</v>
      </c>
      <c r="K39" s="59" t="s">
        <v>40</v>
      </c>
      <c r="L39" s="60">
        <f>SUM(P27:AD27)</f>
        <v>143667.98047496463</v>
      </c>
      <c r="M39" s="60">
        <f>L39+J39</f>
        <v>182487.05399687562</v>
      </c>
      <c r="N39" s="60">
        <f>P37</f>
        <v>446367.52196756832</v>
      </c>
      <c r="O39" s="60">
        <f>AE36</f>
        <v>446367.52196756832</v>
      </c>
      <c r="R39" s="38"/>
      <c r="V39" t="s">
        <v>28</v>
      </c>
      <c r="W39" s="38">
        <f>W7</f>
        <v>590624.64918087434</v>
      </c>
    </row>
    <row r="40" spans="4:31" ht="30" x14ac:dyDescent="0.25">
      <c r="I40" s="59" t="s">
        <v>41</v>
      </c>
      <c r="J40" s="61">
        <f>SUM(Roth!E28:O28)</f>
        <v>90926.433521911007</v>
      </c>
      <c r="K40" s="59" t="s">
        <v>41</v>
      </c>
      <c r="L40" s="61">
        <f>SUM(Roth!P28:AD28)</f>
        <v>90511.77900137128</v>
      </c>
      <c r="M40" s="60">
        <f>L40+J40</f>
        <v>181438.21252328227</v>
      </c>
      <c r="N40" s="60">
        <f>Roth!P8</f>
        <v>712851.29840948945</v>
      </c>
      <c r="O40" s="60">
        <f>Roth!AD8</f>
        <v>2093782.2887321464</v>
      </c>
      <c r="R40" s="35"/>
      <c r="V40" t="s">
        <v>29</v>
      </c>
      <c r="W40" s="35">
        <f>W39*0.76</f>
        <v>448874.73337746452</v>
      </c>
      <c r="AE40" s="56"/>
    </row>
    <row r="41" spans="4:31" x14ac:dyDescent="0.25">
      <c r="I41" s="62"/>
      <c r="J41" s="62"/>
      <c r="K41" s="62"/>
      <c r="L41" s="62"/>
      <c r="M41" s="66">
        <f>M39-M40</f>
        <v>1048.8414735933475</v>
      </c>
      <c r="N41" s="66">
        <f>N40-N39</f>
        <v>266483.77644192113</v>
      </c>
      <c r="O41" s="66">
        <f>O40-O39</f>
        <v>1647414.7667645779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D8D9-5BBC-464F-8896-59C113D02CF6}">
  <dimension ref="B2:AE44"/>
  <sheetViews>
    <sheetView zoomScale="90" zoomScaleNormal="90" workbookViewId="0">
      <selection activeCell="E11" sqref="E11"/>
    </sheetView>
  </sheetViews>
  <sheetFormatPr defaultRowHeight="15" x14ac:dyDescent="0.25"/>
  <cols>
    <col min="4" max="4" width="32.28515625" customWidth="1"/>
    <col min="5" max="30" width="12.140625" customWidth="1"/>
    <col min="31" max="31" width="11.42578125" bestFit="1" customWidth="1"/>
  </cols>
  <sheetData>
    <row r="2" spans="3:30" ht="15.75" thickBot="1" x14ac:dyDescent="0.3">
      <c r="E2" s="3">
        <v>1</v>
      </c>
      <c r="F2" s="3">
        <v>2</v>
      </c>
      <c r="G2" s="3">
        <v>3</v>
      </c>
      <c r="H2" s="3">
        <v>4</v>
      </c>
      <c r="I2" s="3">
        <v>5</v>
      </c>
      <c r="J2" s="3">
        <v>6</v>
      </c>
      <c r="K2" s="3">
        <v>7</v>
      </c>
      <c r="L2" s="3">
        <v>8</v>
      </c>
      <c r="M2" s="3">
        <v>9</v>
      </c>
      <c r="N2" s="3">
        <v>10</v>
      </c>
      <c r="O2" s="3">
        <v>11</v>
      </c>
      <c r="P2" s="3">
        <v>12</v>
      </c>
      <c r="Q2" s="3">
        <v>13</v>
      </c>
      <c r="R2" s="3">
        <v>14</v>
      </c>
      <c r="S2" s="3">
        <v>15</v>
      </c>
      <c r="T2" s="3">
        <v>16</v>
      </c>
      <c r="U2" s="3">
        <v>17</v>
      </c>
      <c r="V2" s="3">
        <v>18</v>
      </c>
      <c r="W2" s="3">
        <v>19</v>
      </c>
      <c r="X2" s="3">
        <v>20</v>
      </c>
      <c r="Y2" s="3">
        <v>21</v>
      </c>
      <c r="Z2" s="3">
        <v>22</v>
      </c>
      <c r="AA2" s="3">
        <v>23</v>
      </c>
      <c r="AB2" s="3">
        <v>24</v>
      </c>
      <c r="AC2" s="3">
        <v>25</v>
      </c>
      <c r="AD2" s="3">
        <v>26</v>
      </c>
    </row>
    <row r="3" spans="3:30" ht="18" thickTop="1" x14ac:dyDescent="0.3">
      <c r="C3" t="s">
        <v>8</v>
      </c>
      <c r="D3" s="4" t="s">
        <v>31</v>
      </c>
      <c r="E3" s="5">
        <f>2029-1964</f>
        <v>65</v>
      </c>
      <c r="F3" s="5">
        <f>E3+1</f>
        <v>66</v>
      </c>
      <c r="G3" s="5">
        <f t="shared" ref="G3:X3" si="0">F3+1</f>
        <v>67</v>
      </c>
      <c r="H3" s="5">
        <f t="shared" si="0"/>
        <v>68</v>
      </c>
      <c r="I3" s="5">
        <f t="shared" si="0"/>
        <v>69</v>
      </c>
      <c r="J3" s="5">
        <f t="shared" si="0"/>
        <v>70</v>
      </c>
      <c r="K3" s="5">
        <f t="shared" si="0"/>
        <v>71</v>
      </c>
      <c r="L3" s="5">
        <f t="shared" si="0"/>
        <v>72</v>
      </c>
      <c r="M3" s="5">
        <f t="shared" si="0"/>
        <v>73</v>
      </c>
      <c r="N3" s="5">
        <f t="shared" si="0"/>
        <v>74</v>
      </c>
      <c r="O3" s="5">
        <f t="shared" si="0"/>
        <v>75</v>
      </c>
      <c r="P3" s="5">
        <f t="shared" si="0"/>
        <v>76</v>
      </c>
      <c r="Q3" s="5">
        <f t="shared" si="0"/>
        <v>77</v>
      </c>
      <c r="R3" s="5">
        <f t="shared" si="0"/>
        <v>78</v>
      </c>
      <c r="S3" s="5">
        <f t="shared" si="0"/>
        <v>79</v>
      </c>
      <c r="T3" s="5">
        <f t="shared" si="0"/>
        <v>80</v>
      </c>
      <c r="U3" s="5">
        <f t="shared" si="0"/>
        <v>81</v>
      </c>
      <c r="V3" s="5">
        <f t="shared" si="0"/>
        <v>82</v>
      </c>
      <c r="W3" s="5">
        <f t="shared" si="0"/>
        <v>83</v>
      </c>
      <c r="X3" s="5">
        <f t="shared" si="0"/>
        <v>84</v>
      </c>
      <c r="Y3" s="5">
        <f t="shared" ref="Y3:AD3" si="1">X3+1</f>
        <v>85</v>
      </c>
      <c r="Z3" s="5">
        <f t="shared" si="1"/>
        <v>86</v>
      </c>
      <c r="AA3" s="5">
        <f t="shared" si="1"/>
        <v>87</v>
      </c>
      <c r="AB3" s="5">
        <f t="shared" si="1"/>
        <v>88</v>
      </c>
      <c r="AC3" s="5">
        <f t="shared" si="1"/>
        <v>89</v>
      </c>
      <c r="AD3" s="5">
        <f t="shared" si="1"/>
        <v>90</v>
      </c>
    </row>
    <row r="4" spans="3:30" ht="17.25" x14ac:dyDescent="0.3">
      <c r="D4" s="6" t="s">
        <v>32</v>
      </c>
      <c r="E4" s="7">
        <f>2029-1967</f>
        <v>62</v>
      </c>
      <c r="F4" s="7">
        <f>E4+1</f>
        <v>63</v>
      </c>
      <c r="G4" s="7">
        <f t="shared" ref="G4:X4" si="2">F4+1</f>
        <v>64</v>
      </c>
      <c r="H4" s="7">
        <f t="shared" si="2"/>
        <v>65</v>
      </c>
      <c r="I4" s="7">
        <f t="shared" si="2"/>
        <v>66</v>
      </c>
      <c r="J4" s="7">
        <f t="shared" si="2"/>
        <v>67</v>
      </c>
      <c r="K4" s="7">
        <f t="shared" si="2"/>
        <v>68</v>
      </c>
      <c r="L4" s="7">
        <f t="shared" si="2"/>
        <v>69</v>
      </c>
      <c r="M4" s="7">
        <f t="shared" si="2"/>
        <v>70</v>
      </c>
      <c r="N4" s="7">
        <f t="shared" si="2"/>
        <v>71</v>
      </c>
      <c r="O4" s="7">
        <f t="shared" si="2"/>
        <v>72</v>
      </c>
      <c r="P4" s="8">
        <f t="shared" si="2"/>
        <v>73</v>
      </c>
      <c r="Q4" s="7">
        <f t="shared" si="2"/>
        <v>74</v>
      </c>
      <c r="R4" s="7">
        <f t="shared" si="2"/>
        <v>75</v>
      </c>
      <c r="S4" s="7">
        <f t="shared" si="2"/>
        <v>76</v>
      </c>
      <c r="T4" s="7">
        <f t="shared" si="2"/>
        <v>77</v>
      </c>
      <c r="U4" s="7">
        <f t="shared" si="2"/>
        <v>78</v>
      </c>
      <c r="V4" s="7">
        <f t="shared" si="2"/>
        <v>79</v>
      </c>
      <c r="W4" s="7">
        <f t="shared" si="2"/>
        <v>80</v>
      </c>
      <c r="X4" s="7">
        <f t="shared" si="2"/>
        <v>81</v>
      </c>
      <c r="Y4" s="7">
        <f t="shared" ref="Y4:AD4" si="3">X4+1</f>
        <v>82</v>
      </c>
      <c r="Z4" s="7">
        <f t="shared" si="3"/>
        <v>83</v>
      </c>
      <c r="AA4" s="7">
        <f t="shared" si="3"/>
        <v>84</v>
      </c>
      <c r="AB4" s="7">
        <f t="shared" si="3"/>
        <v>85</v>
      </c>
      <c r="AC4" s="7">
        <f t="shared" si="3"/>
        <v>86</v>
      </c>
      <c r="AD4" s="7">
        <f t="shared" si="3"/>
        <v>87</v>
      </c>
    </row>
    <row r="5" spans="3:30" ht="18" thickBot="1" x14ac:dyDescent="0.35">
      <c r="D5" s="9" t="s">
        <v>9</v>
      </c>
      <c r="E5" s="11">
        <v>2029</v>
      </c>
      <c r="F5" s="11">
        <f>E5+1</f>
        <v>2030</v>
      </c>
      <c r="G5" s="11">
        <f t="shared" ref="G5:X5" si="4">F5+1</f>
        <v>2031</v>
      </c>
      <c r="H5" s="11">
        <f t="shared" si="4"/>
        <v>2032</v>
      </c>
      <c r="I5" s="11">
        <f t="shared" si="4"/>
        <v>2033</v>
      </c>
      <c r="J5" s="11">
        <f t="shared" si="4"/>
        <v>2034</v>
      </c>
      <c r="K5" s="11">
        <f t="shared" si="4"/>
        <v>2035</v>
      </c>
      <c r="L5" s="11">
        <f t="shared" si="4"/>
        <v>2036</v>
      </c>
      <c r="M5" s="11">
        <f t="shared" si="4"/>
        <v>2037</v>
      </c>
      <c r="N5" s="11">
        <f t="shared" si="4"/>
        <v>2038</v>
      </c>
      <c r="O5" s="11">
        <f t="shared" si="4"/>
        <v>2039</v>
      </c>
      <c r="P5" s="12">
        <f t="shared" si="4"/>
        <v>2040</v>
      </c>
      <c r="Q5" s="11">
        <f t="shared" si="4"/>
        <v>2041</v>
      </c>
      <c r="R5" s="11">
        <f t="shared" si="4"/>
        <v>2042</v>
      </c>
      <c r="S5" s="11">
        <f t="shared" si="4"/>
        <v>2043</v>
      </c>
      <c r="T5" s="11">
        <f t="shared" si="4"/>
        <v>2044</v>
      </c>
      <c r="U5" s="11">
        <f t="shared" si="4"/>
        <v>2045</v>
      </c>
      <c r="V5" s="11">
        <f t="shared" si="4"/>
        <v>2046</v>
      </c>
      <c r="W5" s="11">
        <f t="shared" si="4"/>
        <v>2047</v>
      </c>
      <c r="X5" s="11">
        <f t="shared" si="4"/>
        <v>2048</v>
      </c>
      <c r="Y5" s="11">
        <f t="shared" ref="Y5:AD5" si="5">X5+1</f>
        <v>2049</v>
      </c>
      <c r="Z5" s="11">
        <f t="shared" si="5"/>
        <v>2050</v>
      </c>
      <c r="AA5" s="11">
        <f t="shared" si="5"/>
        <v>2051</v>
      </c>
      <c r="AB5" s="11">
        <f t="shared" si="5"/>
        <v>2052</v>
      </c>
      <c r="AC5" s="11">
        <f t="shared" si="5"/>
        <v>2053</v>
      </c>
      <c r="AD5" s="11">
        <f t="shared" si="5"/>
        <v>2054</v>
      </c>
    </row>
    <row r="6" spans="3:30" ht="18" thickTop="1" x14ac:dyDescent="0.3">
      <c r="D6" s="13" t="s">
        <v>10</v>
      </c>
      <c r="E6" s="14">
        <f>Sheet1!B8-E8</f>
        <v>305326</v>
      </c>
      <c r="F6" s="14">
        <f>E6*1.05-F8</f>
        <v>280592.3</v>
      </c>
      <c r="G6" s="14">
        <f t="shared" ref="G6:O6" si="6">F6*1.05-G8</f>
        <v>254621.91499999998</v>
      </c>
      <c r="H6" s="14">
        <f t="shared" si="6"/>
        <v>227353.01075000002</v>
      </c>
      <c r="I6" s="14">
        <f t="shared" si="6"/>
        <v>198720.66128750003</v>
      </c>
      <c r="J6" s="14">
        <f t="shared" si="6"/>
        <v>168656.69435187505</v>
      </c>
      <c r="K6" s="14">
        <f t="shared" si="6"/>
        <v>137089.52906946882</v>
      </c>
      <c r="L6" s="14">
        <f t="shared" si="6"/>
        <v>103944.00552294226</v>
      </c>
      <c r="M6" s="14">
        <f t="shared" si="6"/>
        <v>69141.205799089381</v>
      </c>
      <c r="N6" s="14">
        <f t="shared" si="6"/>
        <v>32598.266089043856</v>
      </c>
      <c r="O6" s="14">
        <f t="shared" si="6"/>
        <v>0.17939349605148891</v>
      </c>
      <c r="P6" s="14">
        <f t="shared" ref="P6" si="7">O6*1.05</f>
        <v>0.18836317085406337</v>
      </c>
      <c r="Q6" s="14">
        <f t="shared" ref="Q6:X6" si="8">P6</f>
        <v>0.18836317085406337</v>
      </c>
      <c r="R6" s="14">
        <f t="shared" si="8"/>
        <v>0.18836317085406337</v>
      </c>
      <c r="S6" s="14">
        <f t="shared" si="8"/>
        <v>0.18836317085406337</v>
      </c>
      <c r="T6" s="14">
        <f t="shared" si="8"/>
        <v>0.18836317085406337</v>
      </c>
      <c r="U6" s="14">
        <f t="shared" si="8"/>
        <v>0.18836317085406337</v>
      </c>
      <c r="V6" s="14">
        <f t="shared" si="8"/>
        <v>0.18836317085406337</v>
      </c>
      <c r="W6" s="14">
        <f t="shared" si="8"/>
        <v>0.18836317085406337</v>
      </c>
      <c r="X6" s="14">
        <f t="shared" si="8"/>
        <v>0.18836317085406337</v>
      </c>
      <c r="Y6" s="14">
        <f t="shared" ref="Y6" si="9">X6</f>
        <v>0.18836317085406337</v>
      </c>
      <c r="Z6" s="14">
        <f t="shared" ref="Z6" si="10">Y6</f>
        <v>0.18836317085406337</v>
      </c>
      <c r="AA6" s="14">
        <f t="shared" ref="AA6" si="11">Z6</f>
        <v>0.18836317085406337</v>
      </c>
      <c r="AB6" s="14">
        <f t="shared" ref="AB6" si="12">AA6</f>
        <v>0.18836317085406337</v>
      </c>
      <c r="AC6" s="14">
        <f t="shared" ref="AC6" si="13">AB6</f>
        <v>0.18836317085406337</v>
      </c>
      <c r="AD6" s="14">
        <f t="shared" ref="AD6" si="14">AC6</f>
        <v>0.18836317085406337</v>
      </c>
    </row>
    <row r="7" spans="3:30" ht="18" thickBot="1" x14ac:dyDescent="0.35">
      <c r="D7" s="15"/>
      <c r="E7" s="16">
        <f t="shared" ref="E7:V7" si="15">SUM(E6:E6)</f>
        <v>305326</v>
      </c>
      <c r="F7" s="16">
        <f t="shared" si="15"/>
        <v>280592.3</v>
      </c>
      <c r="G7" s="16">
        <f t="shared" si="15"/>
        <v>254621.91499999998</v>
      </c>
      <c r="H7" s="16">
        <f t="shared" si="15"/>
        <v>227353.01075000002</v>
      </c>
      <c r="I7" s="16">
        <f t="shared" si="15"/>
        <v>198720.66128750003</v>
      </c>
      <c r="J7" s="16">
        <f t="shared" si="15"/>
        <v>168656.69435187505</v>
      </c>
      <c r="K7" s="16">
        <f t="shared" si="15"/>
        <v>137089.52906946882</v>
      </c>
      <c r="L7" s="16">
        <f t="shared" si="15"/>
        <v>103944.00552294226</v>
      </c>
      <c r="M7" s="16">
        <f t="shared" si="15"/>
        <v>69141.205799089381</v>
      </c>
      <c r="N7" s="16">
        <f t="shared" si="15"/>
        <v>32598.266089043856</v>
      </c>
      <c r="O7" s="16">
        <f t="shared" si="15"/>
        <v>0.17939349605148891</v>
      </c>
      <c r="P7" s="16">
        <f t="shared" si="15"/>
        <v>0.18836317085406337</v>
      </c>
      <c r="Q7" s="16">
        <f t="shared" si="15"/>
        <v>0.18836317085406337</v>
      </c>
      <c r="R7" s="16">
        <f t="shared" si="15"/>
        <v>0.18836317085406337</v>
      </c>
      <c r="S7" s="16">
        <f t="shared" si="15"/>
        <v>0.18836317085406337</v>
      </c>
      <c r="T7" s="16">
        <f t="shared" si="15"/>
        <v>0.18836317085406337</v>
      </c>
      <c r="U7" s="16">
        <f t="shared" si="15"/>
        <v>0.18836317085406337</v>
      </c>
      <c r="V7" s="16">
        <f t="shared" si="15"/>
        <v>0.18836317085406337</v>
      </c>
      <c r="W7" s="16">
        <f t="shared" ref="W7:X7" si="16">SUM(W6:W6)</f>
        <v>0.18836317085406337</v>
      </c>
      <c r="X7" s="16">
        <f t="shared" si="16"/>
        <v>0.18836317085406337</v>
      </c>
      <c r="Y7" s="16">
        <f t="shared" ref="Y7:AD7" si="17">SUM(Y6:Y6)</f>
        <v>0.18836317085406337</v>
      </c>
      <c r="Z7" s="16">
        <f t="shared" si="17"/>
        <v>0.18836317085406337</v>
      </c>
      <c r="AA7" s="16">
        <f t="shared" si="17"/>
        <v>0.18836317085406337</v>
      </c>
      <c r="AB7" s="16">
        <f t="shared" si="17"/>
        <v>0.18836317085406337</v>
      </c>
      <c r="AC7" s="16">
        <f t="shared" si="17"/>
        <v>0.18836317085406337</v>
      </c>
      <c r="AD7" s="16">
        <f t="shared" si="17"/>
        <v>0.18836317085406337</v>
      </c>
    </row>
    <row r="8" spans="3:30" ht="18.75" thickTop="1" thickBot="1" x14ac:dyDescent="0.35">
      <c r="D8" s="57" t="s">
        <v>35</v>
      </c>
      <c r="E8" s="58">
        <v>40000</v>
      </c>
      <c r="F8" s="58">
        <f t="shared" ref="F8:N8" si="18">$E$8</f>
        <v>40000</v>
      </c>
      <c r="G8" s="58">
        <f t="shared" si="18"/>
        <v>40000</v>
      </c>
      <c r="H8" s="58">
        <f t="shared" si="18"/>
        <v>40000</v>
      </c>
      <c r="I8" s="58">
        <f t="shared" si="18"/>
        <v>40000</v>
      </c>
      <c r="J8" s="58">
        <f t="shared" si="18"/>
        <v>40000</v>
      </c>
      <c r="K8" s="58">
        <f t="shared" si="18"/>
        <v>40000</v>
      </c>
      <c r="L8" s="58">
        <f t="shared" si="18"/>
        <v>40000</v>
      </c>
      <c r="M8" s="58">
        <f t="shared" si="18"/>
        <v>40000</v>
      </c>
      <c r="N8" s="58">
        <f t="shared" si="18"/>
        <v>40000</v>
      </c>
      <c r="O8" s="58">
        <v>34228</v>
      </c>
      <c r="P8" s="58">
        <f>E8*(1+$E$39)^11+F8*(1+$E$39)^10+G8*(1+$E$39)^9+H8*(1+$E$39)^8+I8*(1+$E$39)^7+J8*(1+$E$39)^6+K8*(1+$E$39)^5+L8*(1+$E$39)^4+M8*(1+$E$39)^3+N8*(1+$E$39)^2+O8*(1+$E$39)^1</f>
        <v>712851.29840948945</v>
      </c>
      <c r="Q8" s="58">
        <f>P8*(1+$E$39)</f>
        <v>769879.4022822486</v>
      </c>
      <c r="R8" s="58">
        <f t="shared" ref="R8:X8" si="19">Q8*(1+$E$39)</f>
        <v>831469.75446482853</v>
      </c>
      <c r="S8" s="58">
        <f t="shared" si="19"/>
        <v>897987.33482201491</v>
      </c>
      <c r="T8" s="58">
        <f t="shared" si="19"/>
        <v>969826.32160777622</v>
      </c>
      <c r="U8" s="58">
        <f t="shared" si="19"/>
        <v>1047412.4273363984</v>
      </c>
      <c r="V8" s="58">
        <f t="shared" si="19"/>
        <v>1131205.4215233102</v>
      </c>
      <c r="W8" s="58">
        <f t="shared" si="19"/>
        <v>1221701.8552451751</v>
      </c>
      <c r="X8" s="58">
        <f t="shared" si="19"/>
        <v>1319438.0036647893</v>
      </c>
      <c r="Y8" s="58">
        <f t="shared" ref="Y8" si="20">X8*(1+$E$39)</f>
        <v>1424993.0439579724</v>
      </c>
      <c r="Z8" s="58">
        <f t="shared" ref="Z8" si="21">Y8*(1+$E$39)</f>
        <v>1538992.4874746103</v>
      </c>
      <c r="AA8" s="58">
        <f t="shared" ref="AA8" si="22">Z8*(1+$E$39)</f>
        <v>1662111.8864725793</v>
      </c>
      <c r="AB8" s="58">
        <f t="shared" ref="AB8" si="23">AA8*(1+$E$39)</f>
        <v>1795080.8373903858</v>
      </c>
      <c r="AC8" s="58">
        <f t="shared" ref="AC8" si="24">AB8*(1+$E$39)</f>
        <v>1938687.3043816169</v>
      </c>
      <c r="AD8" s="58">
        <f t="shared" ref="AD8" si="25">AC8*(1+$E$39)</f>
        <v>2093782.2887321464</v>
      </c>
    </row>
    <row r="9" spans="3:30" ht="16.5" thickTop="1" thickBot="1" x14ac:dyDescent="0.3"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3:30" ht="18" thickTop="1" x14ac:dyDescent="0.3">
      <c r="C10" t="s">
        <v>11</v>
      </c>
      <c r="D10" s="19" t="s">
        <v>12</v>
      </c>
      <c r="E10" s="20">
        <f>Sheet2!E9</f>
        <v>3183</v>
      </c>
      <c r="F10" s="20">
        <f t="shared" ref="F10:AD11" si="26">E10*1.02</f>
        <v>3246.66</v>
      </c>
      <c r="G10" s="20">
        <f t="shared" si="26"/>
        <v>3311.5931999999998</v>
      </c>
      <c r="H10" s="20">
        <f t="shared" si="26"/>
        <v>3377.8250639999997</v>
      </c>
      <c r="I10" s="20">
        <f t="shared" si="26"/>
        <v>3445.3815652799999</v>
      </c>
      <c r="J10" s="20">
        <f t="shared" si="26"/>
        <v>3514.2891965856002</v>
      </c>
      <c r="K10" s="20">
        <f t="shared" si="26"/>
        <v>3584.5749805173123</v>
      </c>
      <c r="L10" s="20">
        <f t="shared" si="26"/>
        <v>3656.2664801276587</v>
      </c>
      <c r="M10" s="20">
        <f t="shared" si="26"/>
        <v>3729.3918097302121</v>
      </c>
      <c r="N10" s="20">
        <f t="shared" si="26"/>
        <v>3803.9796459248164</v>
      </c>
      <c r="O10" s="20">
        <f t="shared" si="26"/>
        <v>3880.0592388433129</v>
      </c>
      <c r="P10" s="20">
        <f t="shared" si="26"/>
        <v>3957.6604236201792</v>
      </c>
      <c r="Q10" s="20">
        <f t="shared" si="26"/>
        <v>4036.8136320925828</v>
      </c>
      <c r="R10" s="20">
        <f t="shared" si="26"/>
        <v>4117.5499047344347</v>
      </c>
      <c r="S10" s="20">
        <f t="shared" si="26"/>
        <v>4199.9009028291239</v>
      </c>
      <c r="T10" s="20">
        <f t="shared" si="26"/>
        <v>4283.8989208857065</v>
      </c>
      <c r="U10" s="20">
        <f t="shared" si="26"/>
        <v>4369.5768993034208</v>
      </c>
      <c r="V10" s="20">
        <f t="shared" si="26"/>
        <v>4456.968437289489</v>
      </c>
      <c r="W10" s="20">
        <f t="shared" si="26"/>
        <v>4546.1078060352793</v>
      </c>
      <c r="X10" s="20">
        <f t="shared" si="26"/>
        <v>4637.0299621559852</v>
      </c>
      <c r="Y10" s="20">
        <f t="shared" si="26"/>
        <v>4729.7705613991047</v>
      </c>
      <c r="Z10" s="20">
        <f t="shared" si="26"/>
        <v>4824.3659726270871</v>
      </c>
      <c r="AA10" s="20">
        <f t="shared" si="26"/>
        <v>4920.8532920796288</v>
      </c>
      <c r="AB10" s="20">
        <f t="shared" si="26"/>
        <v>5019.2703579212211</v>
      </c>
      <c r="AC10" s="20">
        <f t="shared" si="26"/>
        <v>5119.6557650796458</v>
      </c>
      <c r="AD10" s="20">
        <f t="shared" si="26"/>
        <v>5222.0488803812386</v>
      </c>
    </row>
    <row r="11" spans="3:30" ht="17.25" x14ac:dyDescent="0.3">
      <c r="D11" s="21" t="s">
        <v>33</v>
      </c>
      <c r="E11" s="22">
        <f>1800</f>
        <v>1800</v>
      </c>
      <c r="F11" s="22">
        <f t="shared" ref="F11:N12" si="27">E11*1.02</f>
        <v>1836</v>
      </c>
      <c r="G11" s="22">
        <f t="shared" si="27"/>
        <v>1872.72</v>
      </c>
      <c r="H11" s="22">
        <f t="shared" si="27"/>
        <v>1910.1744000000001</v>
      </c>
      <c r="I11" s="22">
        <f t="shared" si="27"/>
        <v>1948.3778880000002</v>
      </c>
      <c r="J11" s="22">
        <f t="shared" si="27"/>
        <v>1987.3454457600003</v>
      </c>
      <c r="K11" s="22">
        <f t="shared" si="26"/>
        <v>2027.0923546752003</v>
      </c>
      <c r="L11" s="22">
        <f t="shared" si="26"/>
        <v>2067.6342017687043</v>
      </c>
      <c r="M11" s="22">
        <f t="shared" si="26"/>
        <v>2108.9868858040786</v>
      </c>
      <c r="N11" s="22">
        <f t="shared" si="26"/>
        <v>2151.1666235201601</v>
      </c>
      <c r="O11" s="22">
        <f t="shared" si="26"/>
        <v>2194.1899559905632</v>
      </c>
      <c r="P11" s="22">
        <f t="shared" si="26"/>
        <v>2238.0737551103743</v>
      </c>
      <c r="Q11" s="22">
        <f t="shared" si="26"/>
        <v>2282.8352302125818</v>
      </c>
      <c r="R11" s="22">
        <f t="shared" si="26"/>
        <v>2328.4919348168337</v>
      </c>
      <c r="S11" s="22">
        <f t="shared" si="26"/>
        <v>2375.0617735131705</v>
      </c>
      <c r="T11" s="22">
        <f t="shared" si="26"/>
        <v>2422.563008983434</v>
      </c>
      <c r="U11" s="22">
        <f t="shared" si="26"/>
        <v>2471.0142691631027</v>
      </c>
      <c r="V11" s="22">
        <f t="shared" si="26"/>
        <v>2520.4345545463648</v>
      </c>
      <c r="W11" s="22">
        <f t="shared" si="26"/>
        <v>2570.8432456372921</v>
      </c>
      <c r="X11" s="22">
        <f t="shared" ref="O11:X12" si="28">W11*1.02</f>
        <v>2622.260110550038</v>
      </c>
      <c r="Y11" s="22">
        <f t="shared" ref="Y11:Y12" si="29">X11*1.02</f>
        <v>2674.7053127610388</v>
      </c>
      <c r="Z11" s="22">
        <f t="shared" ref="Z11:Z12" si="30">Y11*1.02</f>
        <v>2728.1994190162595</v>
      </c>
      <c r="AA11" s="22">
        <f t="shared" ref="AA11:AA12" si="31">Z11*1.02</f>
        <v>2782.7634073965846</v>
      </c>
      <c r="AB11" s="22">
        <f t="shared" ref="AB11:AB12" si="32">AA11*1.02</f>
        <v>2838.4186755445162</v>
      </c>
      <c r="AC11" s="22">
        <f t="shared" ref="AC11:AC12" si="33">AB11*1.02</f>
        <v>2895.1870490554065</v>
      </c>
      <c r="AD11" s="22">
        <f t="shared" ref="AD11:AD12" si="34">AC11*1.02</f>
        <v>2953.0907900365146</v>
      </c>
    </row>
    <row r="12" spans="3:30" ht="17.25" x14ac:dyDescent="0.3">
      <c r="D12" s="21" t="s">
        <v>34</v>
      </c>
      <c r="E12" s="22">
        <v>1200</v>
      </c>
      <c r="F12" s="22">
        <f t="shared" si="27"/>
        <v>1224</v>
      </c>
      <c r="G12" s="22">
        <f t="shared" si="27"/>
        <v>1248.48</v>
      </c>
      <c r="H12" s="22">
        <f t="shared" si="27"/>
        <v>1273.4496000000001</v>
      </c>
      <c r="I12" s="22">
        <f t="shared" si="27"/>
        <v>1298.9185920000002</v>
      </c>
      <c r="J12" s="22">
        <f t="shared" si="27"/>
        <v>1324.8969638400004</v>
      </c>
      <c r="K12" s="22">
        <f t="shared" si="27"/>
        <v>1351.3949031168004</v>
      </c>
      <c r="L12" s="22">
        <f t="shared" si="27"/>
        <v>1378.4228011791365</v>
      </c>
      <c r="M12" s="22">
        <f t="shared" si="27"/>
        <v>1405.9912572027192</v>
      </c>
      <c r="N12" s="22">
        <f t="shared" si="27"/>
        <v>1434.1110823467736</v>
      </c>
      <c r="O12" s="22">
        <f t="shared" si="28"/>
        <v>1462.7933039937091</v>
      </c>
      <c r="P12" s="22">
        <f t="shared" si="28"/>
        <v>1492.0491700735834</v>
      </c>
      <c r="Q12" s="22">
        <f t="shared" si="28"/>
        <v>1521.8901534750551</v>
      </c>
      <c r="R12" s="22">
        <f t="shared" si="28"/>
        <v>1552.3279565445562</v>
      </c>
      <c r="S12" s="22">
        <f t="shared" si="28"/>
        <v>1583.3745156754474</v>
      </c>
      <c r="T12" s="22">
        <f t="shared" si="28"/>
        <v>1615.0420059889564</v>
      </c>
      <c r="U12" s="22">
        <f t="shared" si="28"/>
        <v>1647.3428461087356</v>
      </c>
      <c r="V12" s="22">
        <f t="shared" si="28"/>
        <v>1680.2897030309102</v>
      </c>
      <c r="W12" s="22">
        <f t="shared" si="28"/>
        <v>1713.8954970915286</v>
      </c>
      <c r="X12" s="22">
        <f t="shared" si="28"/>
        <v>1748.1734070333591</v>
      </c>
      <c r="Y12" s="22">
        <f t="shared" si="29"/>
        <v>1783.1368751740263</v>
      </c>
      <c r="Z12" s="22">
        <f t="shared" si="30"/>
        <v>1818.7996126775067</v>
      </c>
      <c r="AA12" s="22">
        <f t="shared" si="31"/>
        <v>1855.1756049310568</v>
      </c>
      <c r="AB12" s="22">
        <f t="shared" si="32"/>
        <v>1892.279117029678</v>
      </c>
      <c r="AC12" s="22">
        <f t="shared" si="33"/>
        <v>1930.1246993702716</v>
      </c>
      <c r="AD12" s="22">
        <f t="shared" si="34"/>
        <v>1968.7271933576772</v>
      </c>
    </row>
    <row r="13" spans="3:30" ht="17.25" x14ac:dyDescent="0.3">
      <c r="D13" s="21" t="s">
        <v>13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f t="shared" ref="L13:X13" si="35">K13</f>
        <v>0</v>
      </c>
      <c r="M13" s="23">
        <f t="shared" si="35"/>
        <v>0</v>
      </c>
      <c r="N13" s="23">
        <f t="shared" si="35"/>
        <v>0</v>
      </c>
      <c r="O13" s="23">
        <f t="shared" si="35"/>
        <v>0</v>
      </c>
      <c r="P13" s="23">
        <f>P7*5%/12</f>
        <v>7.848465452252642E-4</v>
      </c>
      <c r="Q13" s="23">
        <f t="shared" si="35"/>
        <v>7.848465452252642E-4</v>
      </c>
      <c r="R13" s="23">
        <f t="shared" si="35"/>
        <v>7.848465452252642E-4</v>
      </c>
      <c r="S13" s="23">
        <f t="shared" si="35"/>
        <v>7.848465452252642E-4</v>
      </c>
      <c r="T13" s="23">
        <f t="shared" si="35"/>
        <v>7.848465452252642E-4</v>
      </c>
      <c r="U13" s="23">
        <f t="shared" si="35"/>
        <v>7.848465452252642E-4</v>
      </c>
      <c r="V13" s="23">
        <f t="shared" si="35"/>
        <v>7.848465452252642E-4</v>
      </c>
      <c r="W13" s="23">
        <f t="shared" si="35"/>
        <v>7.848465452252642E-4</v>
      </c>
      <c r="X13" s="23">
        <f t="shared" si="35"/>
        <v>7.848465452252642E-4</v>
      </c>
      <c r="Y13" s="23">
        <f t="shared" ref="Y13" si="36">X13</f>
        <v>7.848465452252642E-4</v>
      </c>
      <c r="Z13" s="23">
        <f t="shared" ref="Z13" si="37">Y13</f>
        <v>7.848465452252642E-4</v>
      </c>
      <c r="AA13" s="23">
        <f t="shared" ref="AA13" si="38">Z13</f>
        <v>7.848465452252642E-4</v>
      </c>
      <c r="AB13" s="23">
        <f t="shared" ref="AB13" si="39">AA13</f>
        <v>7.848465452252642E-4</v>
      </c>
      <c r="AC13" s="23">
        <f t="shared" ref="AC13" si="40">AB13</f>
        <v>7.848465452252642E-4</v>
      </c>
      <c r="AD13" s="23">
        <f t="shared" ref="AD13" si="41">AC13</f>
        <v>7.848465452252642E-4</v>
      </c>
    </row>
    <row r="14" spans="3:30" ht="18" thickBot="1" x14ac:dyDescent="0.35">
      <c r="D14" s="15" t="s">
        <v>14</v>
      </c>
      <c r="E14" s="24">
        <f t="shared" ref="E14:X14" si="42">SUM(E10:E13)</f>
        <v>6183</v>
      </c>
      <c r="F14" s="24">
        <f t="shared" si="42"/>
        <v>6306.66</v>
      </c>
      <c r="G14" s="24">
        <f t="shared" si="42"/>
        <v>6432.7932000000001</v>
      </c>
      <c r="H14" s="24">
        <f t="shared" si="42"/>
        <v>6561.4490639999995</v>
      </c>
      <c r="I14" s="24">
        <f t="shared" si="42"/>
        <v>6692.6780452800003</v>
      </c>
      <c r="J14" s="24">
        <f t="shared" si="42"/>
        <v>6826.531606185601</v>
      </c>
      <c r="K14" s="24">
        <f t="shared" si="42"/>
        <v>6963.0622383093132</v>
      </c>
      <c r="L14" s="24">
        <f t="shared" si="42"/>
        <v>7102.3234830754991</v>
      </c>
      <c r="M14" s="24">
        <f t="shared" si="42"/>
        <v>7244.36995273701</v>
      </c>
      <c r="N14" s="24">
        <f t="shared" si="42"/>
        <v>7389.2573517917499</v>
      </c>
      <c r="O14" s="24">
        <f t="shared" si="42"/>
        <v>7537.0424988275845</v>
      </c>
      <c r="P14" s="24">
        <f t="shared" si="42"/>
        <v>7687.7841336506826</v>
      </c>
      <c r="Q14" s="24">
        <f t="shared" si="42"/>
        <v>7841.5398006267642</v>
      </c>
      <c r="R14" s="24">
        <f t="shared" si="42"/>
        <v>7998.3705809423691</v>
      </c>
      <c r="S14" s="24">
        <f t="shared" si="42"/>
        <v>8158.3379768642872</v>
      </c>
      <c r="T14" s="24">
        <f t="shared" si="42"/>
        <v>8321.5047207046409</v>
      </c>
      <c r="U14" s="24">
        <f t="shared" si="42"/>
        <v>8487.9347994218042</v>
      </c>
      <c r="V14" s="24">
        <f t="shared" si="42"/>
        <v>8657.693479713309</v>
      </c>
      <c r="W14" s="24">
        <f t="shared" si="42"/>
        <v>8830.8473336106454</v>
      </c>
      <c r="X14" s="24">
        <f t="shared" si="42"/>
        <v>9007.4642645859276</v>
      </c>
      <c r="Y14" s="24">
        <f t="shared" ref="Y14:AD14" si="43">SUM(Y10:Y13)</f>
        <v>9187.6135341807149</v>
      </c>
      <c r="Z14" s="24">
        <f t="shared" si="43"/>
        <v>9371.3657891673975</v>
      </c>
      <c r="AA14" s="24">
        <f t="shared" si="43"/>
        <v>9558.7930892538152</v>
      </c>
      <c r="AB14" s="24">
        <f t="shared" si="43"/>
        <v>9749.9689353419599</v>
      </c>
      <c r="AC14" s="24">
        <f t="shared" si="43"/>
        <v>9944.9682983518687</v>
      </c>
      <c r="AD14" s="24">
        <f t="shared" si="43"/>
        <v>10143.867648621976</v>
      </c>
    </row>
    <row r="15" spans="3:30" ht="16.5" thickTop="1" thickBot="1" x14ac:dyDescent="0.3">
      <c r="D15" s="17"/>
      <c r="I15" s="25"/>
      <c r="J15" s="25"/>
    </row>
    <row r="16" spans="3:30" ht="18" thickTop="1" x14ac:dyDescent="0.3">
      <c r="D16" s="26" t="s">
        <v>15</v>
      </c>
      <c r="E16" s="27">
        <f>(E10+E13)*12+(E11+E12)*12*0.85+E8</f>
        <v>108796</v>
      </c>
      <c r="F16" s="27">
        <f t="shared" ref="F16:O16" si="44">(F10+F13)*12+(F11+F12)*12*0.85+F8</f>
        <v>110171.92</v>
      </c>
      <c r="G16" s="27">
        <f t="shared" si="44"/>
        <v>111575.3584</v>
      </c>
      <c r="H16" s="27">
        <f t="shared" si="44"/>
        <v>113006.86556799999</v>
      </c>
      <c r="I16" s="27">
        <f t="shared" si="44"/>
        <v>114467.00287935999</v>
      </c>
      <c r="J16" s="27">
        <f t="shared" si="44"/>
        <v>115956.34293694721</v>
      </c>
      <c r="K16" s="27">
        <f t="shared" si="44"/>
        <v>117475.46979568615</v>
      </c>
      <c r="L16" s="27">
        <f t="shared" si="44"/>
        <v>119024.97919159988</v>
      </c>
      <c r="M16" s="27">
        <f t="shared" si="44"/>
        <v>120605.47877543188</v>
      </c>
      <c r="N16" s="27">
        <f t="shared" si="44"/>
        <v>122217.58835094051</v>
      </c>
      <c r="O16" s="27">
        <f t="shared" si="44"/>
        <v>118089.94011795934</v>
      </c>
      <c r="P16" s="27">
        <f t="shared" ref="P16:X16" si="45">(P10+P13)*12+(P11+P12)*12*0.85</f>
        <v>85539.188338477063</v>
      </c>
      <c r="Q16" s="27">
        <f t="shared" si="45"/>
        <v>87249.971916883427</v>
      </c>
      <c r="R16" s="27">
        <f t="shared" si="45"/>
        <v>88994.971166857926</v>
      </c>
      <c r="S16" s="27">
        <f t="shared" si="45"/>
        <v>90774.870401831926</v>
      </c>
      <c r="T16" s="27">
        <f t="shared" si="45"/>
        <v>92590.3676215054</v>
      </c>
      <c r="U16" s="27">
        <f t="shared" si="45"/>
        <v>94442.174785572337</v>
      </c>
      <c r="V16" s="27">
        <f t="shared" si="45"/>
        <v>96331.018092920596</v>
      </c>
      <c r="W16" s="27">
        <f t="shared" si="45"/>
        <v>98257.638266415859</v>
      </c>
      <c r="X16" s="27">
        <f t="shared" si="45"/>
        <v>100222.79084338101</v>
      </c>
      <c r="Y16" s="27">
        <f t="shared" ref="Y16:AD16" si="46">(Y10+Y13)*12+(Y11+Y12)*12*0.85</f>
        <v>102227.24647188548</v>
      </c>
      <c r="Z16" s="27">
        <f t="shared" si="46"/>
        <v>104271.79121296</v>
      </c>
      <c r="AA16" s="27">
        <f t="shared" si="46"/>
        <v>106357.22684885602</v>
      </c>
      <c r="AB16" s="27">
        <f t="shared" si="46"/>
        <v>108484.37119746997</v>
      </c>
      <c r="AC16" s="27">
        <f t="shared" si="46"/>
        <v>110654.0584330562</v>
      </c>
      <c r="AD16" s="27">
        <f t="shared" si="46"/>
        <v>112867.13941335416</v>
      </c>
    </row>
    <row r="17" spans="2:31" ht="17.25" x14ac:dyDescent="0.3">
      <c r="D17" s="28" t="s">
        <v>16</v>
      </c>
      <c r="E17" s="29">
        <v>32200</v>
      </c>
      <c r="F17" s="29">
        <f t="shared" ref="F17:X18" si="47">E17</f>
        <v>32200</v>
      </c>
      <c r="G17" s="29">
        <f t="shared" si="47"/>
        <v>32200</v>
      </c>
      <c r="H17" s="29">
        <f t="shared" si="47"/>
        <v>32200</v>
      </c>
      <c r="I17" s="29">
        <f t="shared" si="47"/>
        <v>32200</v>
      </c>
      <c r="J17" s="29">
        <f t="shared" si="47"/>
        <v>32200</v>
      </c>
      <c r="K17" s="29">
        <f t="shared" si="47"/>
        <v>32200</v>
      </c>
      <c r="L17" s="29">
        <f t="shared" si="47"/>
        <v>32200</v>
      </c>
      <c r="M17" s="29">
        <f t="shared" si="47"/>
        <v>32200</v>
      </c>
      <c r="N17" s="29">
        <f t="shared" si="47"/>
        <v>32200</v>
      </c>
      <c r="O17" s="29">
        <f t="shared" si="47"/>
        <v>32200</v>
      </c>
      <c r="P17" s="29">
        <f t="shared" si="47"/>
        <v>32200</v>
      </c>
      <c r="Q17" s="29">
        <f t="shared" si="47"/>
        <v>32200</v>
      </c>
      <c r="R17" s="29">
        <f t="shared" si="47"/>
        <v>32200</v>
      </c>
      <c r="S17" s="29">
        <f t="shared" si="47"/>
        <v>32200</v>
      </c>
      <c r="T17" s="29">
        <f t="shared" si="47"/>
        <v>32200</v>
      </c>
      <c r="U17" s="29">
        <f t="shared" si="47"/>
        <v>32200</v>
      </c>
      <c r="V17" s="29">
        <f t="shared" si="47"/>
        <v>32200</v>
      </c>
      <c r="W17" s="29">
        <f t="shared" si="47"/>
        <v>32200</v>
      </c>
      <c r="X17" s="29">
        <f t="shared" si="47"/>
        <v>32200</v>
      </c>
      <c r="Y17" s="29">
        <f t="shared" ref="Y17:Y18" si="48">X17</f>
        <v>32200</v>
      </c>
      <c r="Z17" s="29">
        <f t="shared" ref="Z17:Z18" si="49">Y17</f>
        <v>32200</v>
      </c>
      <c r="AA17" s="29">
        <f t="shared" ref="AA17:AA18" si="50">Z17</f>
        <v>32200</v>
      </c>
      <c r="AB17" s="29">
        <f t="shared" ref="AB17:AB18" si="51">AA17</f>
        <v>32200</v>
      </c>
      <c r="AC17" s="29">
        <f t="shared" ref="AC17:AC18" si="52">AB17</f>
        <v>32200</v>
      </c>
      <c r="AD17" s="29">
        <f t="shared" ref="AD17:AD18" si="53">AC17</f>
        <v>32200</v>
      </c>
    </row>
    <row r="18" spans="2:31" ht="17.25" x14ac:dyDescent="0.3">
      <c r="D18" s="67" t="s">
        <v>45</v>
      </c>
      <c r="E18" s="68">
        <v>6000</v>
      </c>
      <c r="F18" s="68">
        <f>E18</f>
        <v>6000</v>
      </c>
      <c r="G18" s="68">
        <f t="shared" si="47"/>
        <v>6000</v>
      </c>
      <c r="H18" s="68">
        <v>12000</v>
      </c>
      <c r="I18" s="68">
        <f t="shared" si="47"/>
        <v>12000</v>
      </c>
      <c r="J18" s="68">
        <f t="shared" si="47"/>
        <v>12000</v>
      </c>
      <c r="K18" s="68">
        <f t="shared" si="47"/>
        <v>12000</v>
      </c>
      <c r="L18" s="68">
        <f t="shared" si="47"/>
        <v>12000</v>
      </c>
      <c r="M18" s="68">
        <f t="shared" si="47"/>
        <v>12000</v>
      </c>
      <c r="N18" s="68">
        <f t="shared" si="47"/>
        <v>12000</v>
      </c>
      <c r="O18" s="68">
        <f t="shared" si="47"/>
        <v>12000</v>
      </c>
      <c r="P18" s="68">
        <f t="shared" si="47"/>
        <v>12000</v>
      </c>
      <c r="Q18" s="68">
        <f t="shared" si="47"/>
        <v>12000</v>
      </c>
      <c r="R18" s="68">
        <f t="shared" si="47"/>
        <v>12000</v>
      </c>
      <c r="S18" s="68">
        <f t="shared" si="47"/>
        <v>12000</v>
      </c>
      <c r="T18" s="68">
        <f t="shared" si="47"/>
        <v>12000</v>
      </c>
      <c r="U18" s="68">
        <f t="shared" si="47"/>
        <v>12000</v>
      </c>
      <c r="V18" s="68">
        <f t="shared" si="47"/>
        <v>12000</v>
      </c>
      <c r="W18" s="68">
        <f t="shared" si="47"/>
        <v>12000</v>
      </c>
      <c r="X18" s="68">
        <f t="shared" si="47"/>
        <v>12000</v>
      </c>
      <c r="Y18" s="68">
        <f t="shared" si="48"/>
        <v>12000</v>
      </c>
      <c r="Z18" s="68">
        <f t="shared" si="49"/>
        <v>12000</v>
      </c>
      <c r="AA18" s="68">
        <f t="shared" si="50"/>
        <v>12000</v>
      </c>
      <c r="AB18" s="68">
        <f t="shared" si="51"/>
        <v>12000</v>
      </c>
      <c r="AC18" s="68">
        <f t="shared" si="52"/>
        <v>12000</v>
      </c>
      <c r="AD18" s="68">
        <f t="shared" si="53"/>
        <v>12000</v>
      </c>
    </row>
    <row r="19" spans="2:31" ht="18" thickBot="1" x14ac:dyDescent="0.35">
      <c r="D19" s="30" t="s">
        <v>17</v>
      </c>
      <c r="E19" s="31">
        <f>E16-E17-E18</f>
        <v>70596</v>
      </c>
      <c r="F19" s="31">
        <f t="shared" ref="F19:AD19" si="54">F16-F17-F18</f>
        <v>71971.92</v>
      </c>
      <c r="G19" s="31">
        <f t="shared" si="54"/>
        <v>73375.358399999997</v>
      </c>
      <c r="H19" s="31">
        <f t="shared" si="54"/>
        <v>68806.865567999994</v>
      </c>
      <c r="I19" s="31">
        <f t="shared" si="54"/>
        <v>70267.002879359992</v>
      </c>
      <c r="J19" s="31">
        <f t="shared" si="54"/>
        <v>71756.342936947214</v>
      </c>
      <c r="K19" s="31">
        <f t="shared" si="54"/>
        <v>73275.469795686149</v>
      </c>
      <c r="L19" s="31">
        <f t="shared" si="54"/>
        <v>74824.979191599879</v>
      </c>
      <c r="M19" s="31">
        <f t="shared" si="54"/>
        <v>76405.478775431882</v>
      </c>
      <c r="N19" s="31">
        <f t="shared" si="54"/>
        <v>78017.58835094051</v>
      </c>
      <c r="O19" s="31">
        <f t="shared" si="54"/>
        <v>73889.940117959341</v>
      </c>
      <c r="P19" s="31">
        <f t="shared" si="54"/>
        <v>41339.188338477063</v>
      </c>
      <c r="Q19" s="31">
        <f t="shared" si="54"/>
        <v>43049.971916883427</v>
      </c>
      <c r="R19" s="31">
        <f t="shared" si="54"/>
        <v>44794.971166857926</v>
      </c>
      <c r="S19" s="31">
        <f t="shared" si="54"/>
        <v>46574.870401831926</v>
      </c>
      <c r="T19" s="31">
        <f t="shared" si="54"/>
        <v>48390.3676215054</v>
      </c>
      <c r="U19" s="31">
        <f t="shared" si="54"/>
        <v>50242.174785572337</v>
      </c>
      <c r="V19" s="31">
        <f t="shared" si="54"/>
        <v>52131.018092920596</v>
      </c>
      <c r="W19" s="31">
        <f t="shared" si="54"/>
        <v>54057.638266415859</v>
      </c>
      <c r="X19" s="31">
        <f t="shared" si="54"/>
        <v>56022.790843381008</v>
      </c>
      <c r="Y19" s="31">
        <f t="shared" si="54"/>
        <v>58027.246471885475</v>
      </c>
      <c r="Z19" s="31">
        <f t="shared" si="54"/>
        <v>60071.791212960001</v>
      </c>
      <c r="AA19" s="31">
        <f t="shared" si="54"/>
        <v>62157.226848856022</v>
      </c>
      <c r="AB19" s="31">
        <f t="shared" si="54"/>
        <v>64284.371197469969</v>
      </c>
      <c r="AC19" s="31">
        <f t="shared" si="54"/>
        <v>66454.058433056198</v>
      </c>
      <c r="AD19" s="31">
        <f t="shared" si="54"/>
        <v>68667.139413354162</v>
      </c>
    </row>
    <row r="20" spans="2:31" ht="16.5" thickTop="1" thickBot="1" x14ac:dyDescent="0.3">
      <c r="B20" s="32" t="s">
        <v>18</v>
      </c>
      <c r="C20" s="32"/>
      <c r="D20" s="17"/>
      <c r="E20" s="18"/>
      <c r="F20" s="18"/>
      <c r="G20" s="18"/>
      <c r="H20" s="18"/>
      <c r="I20" s="18"/>
      <c r="J20" s="18"/>
      <c r="K20" s="18"/>
    </row>
    <row r="21" spans="2:31" ht="15.75" thickTop="1" x14ac:dyDescent="0.25">
      <c r="B21" s="2">
        <v>0</v>
      </c>
      <c r="C21" s="2">
        <v>24800</v>
      </c>
      <c r="D21" s="33">
        <v>0.1</v>
      </c>
      <c r="E21" s="34">
        <f>(C21-B21)*D21</f>
        <v>2480</v>
      </c>
      <c r="F21" s="34">
        <f t="shared" ref="F21:P21" si="55">E21</f>
        <v>2480</v>
      </c>
      <c r="G21" s="34">
        <f t="shared" si="55"/>
        <v>2480</v>
      </c>
      <c r="H21" s="34">
        <f t="shared" si="55"/>
        <v>2480</v>
      </c>
      <c r="I21" s="34">
        <f t="shared" si="55"/>
        <v>2480</v>
      </c>
      <c r="J21" s="34">
        <f t="shared" si="55"/>
        <v>2480</v>
      </c>
      <c r="K21" s="34">
        <f t="shared" si="55"/>
        <v>2480</v>
      </c>
      <c r="L21" s="34">
        <f t="shared" si="55"/>
        <v>2480</v>
      </c>
      <c r="M21" s="34">
        <f t="shared" si="55"/>
        <v>2480</v>
      </c>
      <c r="N21" s="34">
        <f t="shared" si="55"/>
        <v>2480</v>
      </c>
      <c r="O21" s="34">
        <f t="shared" si="55"/>
        <v>2480</v>
      </c>
      <c r="P21" s="34">
        <f t="shared" si="55"/>
        <v>2480</v>
      </c>
      <c r="Q21" s="34">
        <f t="shared" ref="Q21:X21" si="56">P21</f>
        <v>2480</v>
      </c>
      <c r="R21" s="34">
        <f t="shared" si="56"/>
        <v>2480</v>
      </c>
      <c r="S21" s="34">
        <f t="shared" si="56"/>
        <v>2480</v>
      </c>
      <c r="T21" s="34">
        <f t="shared" si="56"/>
        <v>2480</v>
      </c>
      <c r="U21" s="34">
        <f t="shared" si="56"/>
        <v>2480</v>
      </c>
      <c r="V21" s="34">
        <f t="shared" si="56"/>
        <v>2480</v>
      </c>
      <c r="W21" s="34">
        <f t="shared" si="56"/>
        <v>2480</v>
      </c>
      <c r="X21" s="34">
        <f t="shared" si="56"/>
        <v>2480</v>
      </c>
      <c r="Y21" s="34">
        <f t="shared" ref="Y21" si="57">X21</f>
        <v>2480</v>
      </c>
      <c r="Z21" s="34">
        <f t="shared" ref="Z21" si="58">Y21</f>
        <v>2480</v>
      </c>
      <c r="AA21" s="34">
        <f t="shared" ref="AA21" si="59">Z21</f>
        <v>2480</v>
      </c>
      <c r="AB21" s="34">
        <f t="shared" ref="AB21" si="60">AA21</f>
        <v>2480</v>
      </c>
      <c r="AC21" s="34">
        <f t="shared" ref="AC21" si="61">AB21</f>
        <v>2480</v>
      </c>
      <c r="AD21" s="34">
        <f t="shared" ref="AD21" si="62">AC21</f>
        <v>2480</v>
      </c>
      <c r="AE21" s="35">
        <f>(C21-B21)*D21</f>
        <v>2480</v>
      </c>
    </row>
    <row r="22" spans="2:31" x14ac:dyDescent="0.25">
      <c r="B22" s="2">
        <v>24800</v>
      </c>
      <c r="C22" s="2">
        <v>100800</v>
      </c>
      <c r="D22" s="36">
        <v>0.12</v>
      </c>
      <c r="E22" s="37">
        <f t="shared" ref="E22:V22" si="63">(E19-$B$22)*$D$22</f>
        <v>5495.5199999999995</v>
      </c>
      <c r="F22" s="37">
        <f t="shared" si="63"/>
        <v>5660.6304</v>
      </c>
      <c r="G22" s="37">
        <f t="shared" si="63"/>
        <v>5829.0430079999996</v>
      </c>
      <c r="H22" s="37">
        <f t="shared" si="63"/>
        <v>5280.8238681599987</v>
      </c>
      <c r="I22" s="37">
        <f t="shared" si="63"/>
        <v>5456.040345523199</v>
      </c>
      <c r="J22" s="37">
        <f t="shared" si="63"/>
        <v>5634.7611524336653</v>
      </c>
      <c r="K22" s="37">
        <f t="shared" si="63"/>
        <v>5817.0563754823379</v>
      </c>
      <c r="L22" s="37">
        <f t="shared" si="63"/>
        <v>6002.9975029919851</v>
      </c>
      <c r="M22" s="37">
        <f t="shared" si="63"/>
        <v>6192.6574530518255</v>
      </c>
      <c r="N22" s="37">
        <f t="shared" si="63"/>
        <v>6386.1106021128608</v>
      </c>
      <c r="O22" s="37">
        <f t="shared" si="63"/>
        <v>5890.7928141551211</v>
      </c>
      <c r="P22" s="37">
        <f t="shared" si="63"/>
        <v>1984.7026006172475</v>
      </c>
      <c r="Q22" s="37">
        <f t="shared" si="63"/>
        <v>2189.9966300260112</v>
      </c>
      <c r="R22" s="37">
        <f t="shared" si="63"/>
        <v>2399.3965400229508</v>
      </c>
      <c r="S22" s="37">
        <f t="shared" si="63"/>
        <v>2612.9844482198309</v>
      </c>
      <c r="T22" s="37">
        <f t="shared" si="63"/>
        <v>2830.8441145806478</v>
      </c>
      <c r="U22" s="37">
        <f t="shared" si="63"/>
        <v>3053.0609742686802</v>
      </c>
      <c r="V22" s="37">
        <f t="shared" si="63"/>
        <v>3279.7221711504712</v>
      </c>
      <c r="W22" s="37">
        <f t="shared" ref="W22:X22" si="64">(W19-$B$22)*$D$22</f>
        <v>3510.916591969903</v>
      </c>
      <c r="X22" s="37">
        <f t="shared" si="64"/>
        <v>3746.7349012057207</v>
      </c>
      <c r="Y22" s="37">
        <f t="shared" ref="Y22:AD22" si="65">(Y19-$B$22)*$D$22</f>
        <v>3987.2695766262568</v>
      </c>
      <c r="Z22" s="37">
        <f t="shared" si="65"/>
        <v>4232.6149455552004</v>
      </c>
      <c r="AA22" s="37">
        <f t="shared" si="65"/>
        <v>4482.8672218627225</v>
      </c>
      <c r="AB22" s="37">
        <f t="shared" si="65"/>
        <v>4738.1245436963964</v>
      </c>
      <c r="AC22" s="37">
        <f t="shared" si="65"/>
        <v>4998.4870119667439</v>
      </c>
      <c r="AD22" s="37">
        <f t="shared" si="65"/>
        <v>5264.0567296024992</v>
      </c>
      <c r="AE22" s="35">
        <f>(C22-B22)*D22</f>
        <v>9120</v>
      </c>
    </row>
    <row r="23" spans="2:31" x14ac:dyDescent="0.25">
      <c r="B23" s="2">
        <v>100800</v>
      </c>
      <c r="C23" s="2">
        <v>211400</v>
      </c>
      <c r="D23" s="36">
        <v>0.22</v>
      </c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5">
        <f>(C23-B23)*D23</f>
        <v>24332</v>
      </c>
    </row>
    <row r="24" spans="2:31" x14ac:dyDescent="0.25">
      <c r="B24" s="2">
        <v>211400</v>
      </c>
      <c r="C24" s="2">
        <v>403550</v>
      </c>
      <c r="D24" s="36">
        <v>0.24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5">
        <f>(C24-B24)*D24</f>
        <v>46116</v>
      </c>
    </row>
    <row r="25" spans="2:31" x14ac:dyDescent="0.25">
      <c r="B25" s="2">
        <v>403550</v>
      </c>
      <c r="C25" s="2">
        <v>512450</v>
      </c>
      <c r="D25" s="36">
        <v>0.32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5">
        <f>(C25-B25)*D25</f>
        <v>34848</v>
      </c>
    </row>
    <row r="26" spans="2:31" x14ac:dyDescent="0.25">
      <c r="B26" s="2">
        <v>512450</v>
      </c>
      <c r="C26" s="2">
        <v>768700</v>
      </c>
      <c r="D26" s="36">
        <v>0.35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5">
        <f>(AD7-B26)*D26</f>
        <v>-179357.4340728902</v>
      </c>
    </row>
    <row r="27" spans="2:31" x14ac:dyDescent="0.25">
      <c r="B27" s="2">
        <v>768700</v>
      </c>
      <c r="D27" s="36">
        <v>0.37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8"/>
    </row>
    <row r="28" spans="2:31" ht="15.75" thickBot="1" x14ac:dyDescent="0.3">
      <c r="D28" s="39" t="s">
        <v>19</v>
      </c>
      <c r="E28" s="40">
        <f t="shared" ref="E28:X28" si="66">SUM(E21:E27)</f>
        <v>7975.5199999999995</v>
      </c>
      <c r="F28" s="40">
        <f t="shared" si="66"/>
        <v>8140.6304</v>
      </c>
      <c r="G28" s="40">
        <f t="shared" si="66"/>
        <v>8309.0430080000006</v>
      </c>
      <c r="H28" s="40">
        <f t="shared" si="66"/>
        <v>7760.8238681599987</v>
      </c>
      <c r="I28" s="40">
        <f t="shared" si="66"/>
        <v>7936.040345523199</v>
      </c>
      <c r="J28" s="40">
        <f t="shared" si="66"/>
        <v>8114.7611524336653</v>
      </c>
      <c r="K28" s="40">
        <f t="shared" si="66"/>
        <v>8297.0563754823379</v>
      </c>
      <c r="L28" s="40">
        <f t="shared" si="66"/>
        <v>8482.9975029919842</v>
      </c>
      <c r="M28" s="40">
        <f t="shared" si="66"/>
        <v>8672.6574530518265</v>
      </c>
      <c r="N28" s="40">
        <f t="shared" si="66"/>
        <v>8866.1106021128617</v>
      </c>
      <c r="O28" s="40">
        <f t="shared" si="66"/>
        <v>8370.7928141551201</v>
      </c>
      <c r="P28" s="40">
        <f t="shared" si="66"/>
        <v>4464.7026006172473</v>
      </c>
      <c r="Q28" s="40">
        <f t="shared" si="66"/>
        <v>4669.9966300260112</v>
      </c>
      <c r="R28" s="40">
        <f t="shared" si="66"/>
        <v>4879.3965400229508</v>
      </c>
      <c r="S28" s="40">
        <f t="shared" si="66"/>
        <v>5092.9844482198314</v>
      </c>
      <c r="T28" s="40">
        <f t="shared" si="66"/>
        <v>5310.8441145806482</v>
      </c>
      <c r="U28" s="40">
        <f t="shared" si="66"/>
        <v>5533.0609742686802</v>
      </c>
      <c r="V28" s="40">
        <f t="shared" si="66"/>
        <v>5759.7221711504717</v>
      </c>
      <c r="W28" s="40">
        <f t="shared" si="66"/>
        <v>5990.9165919699026</v>
      </c>
      <c r="X28" s="40">
        <f t="shared" si="66"/>
        <v>6226.7349012057202</v>
      </c>
      <c r="Y28" s="40">
        <f t="shared" ref="Y28:AD28" si="67">SUM(Y21:Y27)</f>
        <v>6467.2695766262568</v>
      </c>
      <c r="Z28" s="40">
        <f t="shared" si="67"/>
        <v>6712.6149455552004</v>
      </c>
      <c r="AA28" s="40">
        <f t="shared" si="67"/>
        <v>6962.8672218627225</v>
      </c>
      <c r="AB28" s="40">
        <f t="shared" si="67"/>
        <v>7218.1245436963964</v>
      </c>
      <c r="AC28" s="40">
        <f t="shared" si="67"/>
        <v>7478.4870119667439</v>
      </c>
      <c r="AD28" s="40">
        <f t="shared" si="67"/>
        <v>7744.0567296024992</v>
      </c>
      <c r="AE28" s="41">
        <f>SUM(AE21:AE27)</f>
        <v>-62461.434072890203</v>
      </c>
    </row>
    <row r="29" spans="2:31" ht="16.5" thickTop="1" thickBot="1" x14ac:dyDescent="0.3">
      <c r="D29" s="42" t="s">
        <v>20</v>
      </c>
      <c r="E29" s="43">
        <f t="shared" ref="E29:X29" si="68">E28/12</f>
        <v>664.62666666666667</v>
      </c>
      <c r="F29" s="43">
        <f t="shared" si="68"/>
        <v>678.38586666666663</v>
      </c>
      <c r="G29" s="43">
        <f t="shared" si="68"/>
        <v>692.42025066666667</v>
      </c>
      <c r="H29" s="43">
        <f t="shared" si="68"/>
        <v>646.73532234666652</v>
      </c>
      <c r="I29" s="43">
        <f t="shared" si="68"/>
        <v>661.33669546026658</v>
      </c>
      <c r="J29" s="43">
        <f t="shared" si="68"/>
        <v>676.23009603613878</v>
      </c>
      <c r="K29" s="43">
        <f t="shared" si="68"/>
        <v>691.42136462352812</v>
      </c>
      <c r="L29" s="43">
        <f t="shared" si="68"/>
        <v>706.91645858266531</v>
      </c>
      <c r="M29" s="43">
        <f t="shared" si="68"/>
        <v>722.72145442098554</v>
      </c>
      <c r="N29" s="43">
        <f t="shared" si="68"/>
        <v>738.84255017607177</v>
      </c>
      <c r="O29" s="43">
        <f t="shared" si="68"/>
        <v>697.56606784626001</v>
      </c>
      <c r="P29" s="43">
        <f t="shared" si="68"/>
        <v>372.05855005143729</v>
      </c>
      <c r="Q29" s="43">
        <f t="shared" si="68"/>
        <v>389.16638583550093</v>
      </c>
      <c r="R29" s="43">
        <f t="shared" si="68"/>
        <v>406.61637833524588</v>
      </c>
      <c r="S29" s="43">
        <f t="shared" si="68"/>
        <v>424.41537068498593</v>
      </c>
      <c r="T29" s="43">
        <f t="shared" si="68"/>
        <v>442.57034288172071</v>
      </c>
      <c r="U29" s="43">
        <f t="shared" si="68"/>
        <v>461.08841452239</v>
      </c>
      <c r="V29" s="43">
        <f t="shared" si="68"/>
        <v>479.97684759587264</v>
      </c>
      <c r="W29" s="43">
        <f t="shared" si="68"/>
        <v>499.24304933082522</v>
      </c>
      <c r="X29" s="43">
        <f t="shared" si="68"/>
        <v>518.89457510047669</v>
      </c>
      <c r="Y29" s="43">
        <f t="shared" ref="Y29:AD29" si="69">Y28/12</f>
        <v>538.93913138552136</v>
      </c>
      <c r="Z29" s="43">
        <f t="shared" si="69"/>
        <v>559.38457879626674</v>
      </c>
      <c r="AA29" s="43">
        <f t="shared" si="69"/>
        <v>580.23893515522684</v>
      </c>
      <c r="AB29" s="43">
        <f t="shared" si="69"/>
        <v>601.5103786413664</v>
      </c>
      <c r="AC29" s="43">
        <f t="shared" si="69"/>
        <v>623.2072509972287</v>
      </c>
      <c r="AD29" s="43">
        <f t="shared" si="69"/>
        <v>645.33806080020827</v>
      </c>
    </row>
    <row r="30" spans="2:31" ht="15.75" thickTop="1" x14ac:dyDescent="0.25">
      <c r="D30" s="17" t="s">
        <v>21</v>
      </c>
      <c r="E30" s="44">
        <f t="shared" ref="E30:X30" si="70">E14-E29</f>
        <v>5518.373333333333</v>
      </c>
      <c r="F30" s="44">
        <f t="shared" si="70"/>
        <v>5628.2741333333333</v>
      </c>
      <c r="G30" s="44">
        <f t="shared" si="70"/>
        <v>5740.3729493333331</v>
      </c>
      <c r="H30" s="44">
        <f t="shared" si="70"/>
        <v>5914.7137416533333</v>
      </c>
      <c r="I30" s="44">
        <f t="shared" si="70"/>
        <v>6031.3413498197333</v>
      </c>
      <c r="J30" s="44">
        <f t="shared" si="70"/>
        <v>6150.301510149462</v>
      </c>
      <c r="K30" s="44">
        <f t="shared" si="70"/>
        <v>6271.6408736857848</v>
      </c>
      <c r="L30" s="44">
        <f t="shared" si="70"/>
        <v>6395.4070244928334</v>
      </c>
      <c r="M30" s="44">
        <f t="shared" si="70"/>
        <v>6521.6484983160244</v>
      </c>
      <c r="N30" s="44">
        <f t="shared" si="70"/>
        <v>6650.4148016156778</v>
      </c>
      <c r="O30" s="44">
        <f t="shared" si="70"/>
        <v>6839.4764309813245</v>
      </c>
      <c r="P30" s="44">
        <f t="shared" si="70"/>
        <v>7315.7255835992455</v>
      </c>
      <c r="Q30" s="44">
        <f t="shared" si="70"/>
        <v>7452.3734147912637</v>
      </c>
      <c r="R30" s="44">
        <f t="shared" si="70"/>
        <v>7591.7542026071233</v>
      </c>
      <c r="S30" s="44">
        <f t="shared" si="70"/>
        <v>7733.9226061793015</v>
      </c>
      <c r="T30" s="44">
        <f t="shared" si="70"/>
        <v>7878.9343778229204</v>
      </c>
      <c r="U30" s="44">
        <f t="shared" si="70"/>
        <v>8026.8463848994143</v>
      </c>
      <c r="V30" s="44">
        <f t="shared" si="70"/>
        <v>8177.7166321174363</v>
      </c>
      <c r="W30" s="44">
        <f t="shared" si="70"/>
        <v>8331.6042842798197</v>
      </c>
      <c r="X30" s="44">
        <f t="shared" si="70"/>
        <v>8488.5696894854518</v>
      </c>
      <c r="Y30" s="44">
        <f t="shared" ref="Y30:AD30" si="71">Y14-Y29</f>
        <v>8648.6744027951936</v>
      </c>
      <c r="Z30" s="44">
        <f t="shared" si="71"/>
        <v>8811.9812103711301</v>
      </c>
      <c r="AA30" s="44">
        <f t="shared" si="71"/>
        <v>8978.5541540985887</v>
      </c>
      <c r="AB30" s="44">
        <f t="shared" si="71"/>
        <v>9148.4585567005943</v>
      </c>
      <c r="AC30" s="44">
        <f t="shared" si="71"/>
        <v>9321.7610473546392</v>
      </c>
      <c r="AD30" s="44">
        <f t="shared" si="71"/>
        <v>9498.5295878217676</v>
      </c>
    </row>
    <row r="31" spans="2:31" ht="15.75" thickBot="1" x14ac:dyDescent="0.3">
      <c r="D31" s="45" t="s">
        <v>22</v>
      </c>
      <c r="E31" s="46">
        <f t="shared" ref="E31:X31" si="72">E30*12</f>
        <v>66220.479999999996</v>
      </c>
      <c r="F31" s="46">
        <f t="shared" si="72"/>
        <v>67539.289600000004</v>
      </c>
      <c r="G31" s="46">
        <f t="shared" si="72"/>
        <v>68884.475391999993</v>
      </c>
      <c r="H31" s="46">
        <f t="shared" si="72"/>
        <v>70976.564899839999</v>
      </c>
      <c r="I31" s="48">
        <f t="shared" si="72"/>
        <v>72376.0961978368</v>
      </c>
      <c r="J31" s="46">
        <f t="shared" si="72"/>
        <v>73803.618121793552</v>
      </c>
      <c r="K31" s="46">
        <f t="shared" si="72"/>
        <v>75259.690484229417</v>
      </c>
      <c r="L31" s="46">
        <f t="shared" si="72"/>
        <v>76744.884293914001</v>
      </c>
      <c r="M31" s="46">
        <f t="shared" si="72"/>
        <v>78259.781979792286</v>
      </c>
      <c r="N31" s="46">
        <f t="shared" si="72"/>
        <v>79804.977619388141</v>
      </c>
      <c r="O31" s="46">
        <f t="shared" si="72"/>
        <v>82073.71717177589</v>
      </c>
      <c r="P31" s="46">
        <f t="shared" si="72"/>
        <v>87788.707003190939</v>
      </c>
      <c r="Q31" s="46">
        <f t="shared" si="72"/>
        <v>89428.480977495172</v>
      </c>
      <c r="R31" s="46">
        <f t="shared" si="72"/>
        <v>91101.050431285475</v>
      </c>
      <c r="S31" s="46">
        <f t="shared" si="72"/>
        <v>92807.071274151618</v>
      </c>
      <c r="T31" s="46">
        <f t="shared" si="72"/>
        <v>94547.212533875048</v>
      </c>
      <c r="U31" s="46">
        <f t="shared" si="72"/>
        <v>96322.156618792971</v>
      </c>
      <c r="V31" s="46">
        <f t="shared" si="72"/>
        <v>98132.599585409233</v>
      </c>
      <c r="W31" s="46">
        <f t="shared" si="72"/>
        <v>99979.251411357836</v>
      </c>
      <c r="X31" s="46">
        <f t="shared" si="72"/>
        <v>101862.83627382542</v>
      </c>
      <c r="Y31" s="46">
        <f t="shared" ref="Y31:AD31" si="73">Y30*12</f>
        <v>103784.09283354232</v>
      </c>
      <c r="Z31" s="46">
        <f t="shared" si="73"/>
        <v>105743.77452445356</v>
      </c>
      <c r="AA31" s="46">
        <f t="shared" si="73"/>
        <v>107742.64984918307</v>
      </c>
      <c r="AB31" s="46">
        <f t="shared" si="73"/>
        <v>109781.50268040714</v>
      </c>
      <c r="AC31" s="46">
        <f t="shared" si="73"/>
        <v>111861.13256825568</v>
      </c>
      <c r="AD31" s="46">
        <f t="shared" si="73"/>
        <v>113982.35505386122</v>
      </c>
      <c r="AE31" s="49">
        <f>SUM(E31:AD31)</f>
        <v>2316808.4493796569</v>
      </c>
    </row>
    <row r="32" spans="2:31" ht="16.5" thickTop="1" thickBot="1" x14ac:dyDescent="0.3"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4:31" ht="15.75" thickTop="1" x14ac:dyDescent="0.25">
      <c r="D33" s="50" t="s">
        <v>23</v>
      </c>
      <c r="E33" s="51">
        <f>Sheet1!B15</f>
        <v>3700</v>
      </c>
      <c r="F33" s="51">
        <f t="shared" ref="F33:X33" si="74">E33*1.02</f>
        <v>3774</v>
      </c>
      <c r="G33" s="51">
        <f t="shared" si="74"/>
        <v>3849.48</v>
      </c>
      <c r="H33" s="51">
        <f t="shared" si="74"/>
        <v>3926.4695999999999</v>
      </c>
      <c r="I33" s="51">
        <f t="shared" si="74"/>
        <v>4004.9989919999998</v>
      </c>
      <c r="J33" s="51">
        <f t="shared" si="74"/>
        <v>4085.0989718400001</v>
      </c>
      <c r="K33" s="51">
        <f t="shared" si="74"/>
        <v>4166.8009512768003</v>
      </c>
      <c r="L33" s="51">
        <f t="shared" si="74"/>
        <v>4250.1369703023365</v>
      </c>
      <c r="M33" s="51">
        <f t="shared" si="74"/>
        <v>4335.1397097083836</v>
      </c>
      <c r="N33" s="51">
        <f t="shared" si="74"/>
        <v>4421.8425039025515</v>
      </c>
      <c r="O33" s="51">
        <f t="shared" si="74"/>
        <v>4510.2793539806025</v>
      </c>
      <c r="P33" s="51">
        <f t="shared" si="74"/>
        <v>4600.4849410602146</v>
      </c>
      <c r="Q33" s="51">
        <f t="shared" si="74"/>
        <v>4692.4946398814191</v>
      </c>
      <c r="R33" s="51">
        <f t="shared" si="74"/>
        <v>4786.3445326790479</v>
      </c>
      <c r="S33" s="51">
        <f t="shared" si="74"/>
        <v>4882.0714233326289</v>
      </c>
      <c r="T33" s="51">
        <f t="shared" si="74"/>
        <v>4979.7128517992815</v>
      </c>
      <c r="U33" s="51">
        <f t="shared" si="74"/>
        <v>5079.3071088352672</v>
      </c>
      <c r="V33" s="51">
        <f t="shared" si="74"/>
        <v>5180.893251011973</v>
      </c>
      <c r="W33" s="51">
        <f t="shared" si="74"/>
        <v>5284.5111160322122</v>
      </c>
      <c r="X33" s="51">
        <f t="shared" si="74"/>
        <v>5390.2013383528565</v>
      </c>
      <c r="Y33" s="51">
        <f t="shared" ref="Y33" si="75">X33*1.02</f>
        <v>5498.0053651199141</v>
      </c>
      <c r="Z33" s="51">
        <f t="shared" ref="Z33" si="76">Y33*1.02</f>
        <v>5607.9654724223128</v>
      </c>
      <c r="AA33" s="51">
        <f t="shared" ref="AA33" si="77">Z33*1.02</f>
        <v>5720.1247818707589</v>
      </c>
      <c r="AB33" s="51">
        <f t="shared" ref="AB33" si="78">AA33*1.02</f>
        <v>5834.5272775081739</v>
      </c>
      <c r="AC33" s="51">
        <f t="shared" ref="AC33" si="79">AB33*1.02</f>
        <v>5951.2178230583377</v>
      </c>
      <c r="AD33" s="51">
        <f t="shared" ref="AD33" si="80">AC33*1.02</f>
        <v>6070.2421795195041</v>
      </c>
    </row>
    <row r="34" spans="4:31" x14ac:dyDescent="0.25">
      <c r="D34" s="17"/>
    </row>
    <row r="35" spans="4:31" ht="15.75" thickBot="1" x14ac:dyDescent="0.3">
      <c r="D35" s="45" t="s">
        <v>24</v>
      </c>
      <c r="E35" s="52">
        <f t="shared" ref="E35:X35" si="81">E30-E33</f>
        <v>1818.373333333333</v>
      </c>
      <c r="F35" s="52">
        <f t="shared" si="81"/>
        <v>1854.2741333333333</v>
      </c>
      <c r="G35" s="52">
        <f t="shared" si="81"/>
        <v>1890.892949333333</v>
      </c>
      <c r="H35" s="52">
        <f t="shared" si="81"/>
        <v>1988.2441416533334</v>
      </c>
      <c r="I35" s="52">
        <f t="shared" si="81"/>
        <v>2026.3423578197335</v>
      </c>
      <c r="J35" s="52">
        <f t="shared" si="81"/>
        <v>2065.2025383094619</v>
      </c>
      <c r="K35" s="52">
        <f t="shared" si="81"/>
        <v>2104.8399224089844</v>
      </c>
      <c r="L35" s="52">
        <f t="shared" si="81"/>
        <v>2145.2700541904969</v>
      </c>
      <c r="M35" s="52">
        <f t="shared" si="81"/>
        <v>2186.5087886076408</v>
      </c>
      <c r="N35" s="52">
        <f t="shared" si="81"/>
        <v>2228.5722977131263</v>
      </c>
      <c r="O35" s="52">
        <f t="shared" si="81"/>
        <v>2329.1970770007219</v>
      </c>
      <c r="P35" s="52">
        <f t="shared" si="81"/>
        <v>2715.2406425390309</v>
      </c>
      <c r="Q35" s="52">
        <f t="shared" si="81"/>
        <v>2759.8787749098447</v>
      </c>
      <c r="R35" s="52">
        <f t="shared" si="81"/>
        <v>2805.4096699280753</v>
      </c>
      <c r="S35" s="52">
        <f t="shared" si="81"/>
        <v>2851.8511828466726</v>
      </c>
      <c r="T35" s="52">
        <f t="shared" si="81"/>
        <v>2899.2215260236389</v>
      </c>
      <c r="U35" s="52">
        <f t="shared" si="81"/>
        <v>2947.5392760641471</v>
      </c>
      <c r="V35" s="52">
        <f t="shared" si="81"/>
        <v>2996.8233811054633</v>
      </c>
      <c r="W35" s="52">
        <f t="shared" si="81"/>
        <v>3047.0931682476075</v>
      </c>
      <c r="X35" s="52">
        <f t="shared" si="81"/>
        <v>3098.3683511325953</v>
      </c>
      <c r="Y35" s="52">
        <f t="shared" ref="Y35:AD35" si="82">Y30-Y33</f>
        <v>3150.6690376752795</v>
      </c>
      <c r="Z35" s="52">
        <f t="shared" si="82"/>
        <v>3204.0157379488173</v>
      </c>
      <c r="AA35" s="52">
        <f t="shared" si="82"/>
        <v>3258.4293722278298</v>
      </c>
      <c r="AB35" s="52">
        <f t="shared" si="82"/>
        <v>3313.9312791924203</v>
      </c>
      <c r="AC35" s="52">
        <f t="shared" si="82"/>
        <v>3370.5432242963016</v>
      </c>
      <c r="AD35" s="52">
        <f t="shared" si="82"/>
        <v>3428.2874083022634</v>
      </c>
    </row>
    <row r="36" spans="4:31" ht="15.75" thickTop="1" x14ac:dyDescent="0.25"/>
    <row r="37" spans="4:31" x14ac:dyDescent="0.25">
      <c r="AE37" s="53">
        <f>AD7-AE28</f>
        <v>62461.622436061058</v>
      </c>
    </row>
    <row r="39" spans="4:31" x14ac:dyDescent="0.25">
      <c r="D39" t="s">
        <v>25</v>
      </c>
      <c r="E39" s="54">
        <v>0.08</v>
      </c>
      <c r="O39" t="s">
        <v>26</v>
      </c>
      <c r="P39" s="55" t="s">
        <v>27</v>
      </c>
    </row>
    <row r="40" spans="4:31" x14ac:dyDescent="0.25">
      <c r="K40" s="38"/>
      <c r="O40" t="s">
        <v>36</v>
      </c>
      <c r="P40" s="38">
        <f>P8</f>
        <v>712851.29840948945</v>
      </c>
    </row>
    <row r="41" spans="4:31" x14ac:dyDescent="0.25">
      <c r="K41" s="35"/>
      <c r="P41" s="35"/>
      <c r="AE41" s="56"/>
    </row>
    <row r="44" spans="4:31" x14ac:dyDescent="0.25">
      <c r="K44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 regev</dc:creator>
  <cp:lastModifiedBy>ran regev</cp:lastModifiedBy>
  <dcterms:created xsi:type="dcterms:W3CDTF">2015-06-05T18:17:20Z</dcterms:created>
  <dcterms:modified xsi:type="dcterms:W3CDTF">2026-06-15T13:54:38Z</dcterms:modified>
</cp:coreProperties>
</file>